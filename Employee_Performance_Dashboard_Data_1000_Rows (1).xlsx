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تحليل بيانات\يوت يوب\"/>
    </mc:Choice>
  </mc:AlternateContent>
  <xr:revisionPtr revIDLastSave="0" documentId="13_ncr:1_{227406B8-CF5F-4967-A5BA-3902830422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formance_Data" sheetId="1" r:id="rId1"/>
    <sheet name="Dashbourd" sheetId="4" r:id="rId2"/>
    <sheet name="Calculations" sheetId="3" r:id="rId3"/>
    <sheet name="Data_Dictionary" sheetId="2" r:id="rId4"/>
  </sheet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11" i="4" l="1"/>
  <c r="AO15" i="4"/>
  <c r="AO14" i="4"/>
  <c r="AO13" i="4"/>
  <c r="BO10" i="4"/>
  <c r="AU11" i="4"/>
  <c r="BO11" i="4"/>
  <c r="BJ11" i="4"/>
  <c r="BJ10" i="4"/>
  <c r="BE11" i="4"/>
  <c r="BE10" i="4"/>
  <c r="AZ11" i="4"/>
  <c r="AZ10" i="4"/>
  <c r="J22" i="4"/>
  <c r="AU10" i="4"/>
  <c r="AO12" i="4"/>
  <c r="E22" i="4"/>
  <c r="C4" i="3" a="1"/>
  <c r="C4" i="3" s="1"/>
  <c r="D4" i="3" a="1"/>
  <c r="D4" i="3" s="1"/>
  <c r="E4" i="3" a="1"/>
  <c r="E4" i="3" s="1"/>
  <c r="F4" i="3" a="1"/>
  <c r="F4" i="3" s="1"/>
  <c r="B4" i="3" a="1"/>
  <c r="B4" i="3" s="1"/>
  <c r="O1001" i="1"/>
  <c r="C1001" i="1"/>
  <c r="O1000" i="1"/>
  <c r="C1000" i="1"/>
  <c r="O999" i="1"/>
  <c r="C999" i="1"/>
  <c r="O998" i="1"/>
  <c r="C998" i="1"/>
  <c r="O997" i="1"/>
  <c r="C997" i="1"/>
  <c r="O996" i="1"/>
  <c r="C996" i="1"/>
  <c r="O995" i="1"/>
  <c r="C995" i="1"/>
  <c r="O994" i="1"/>
  <c r="C994" i="1"/>
  <c r="O993" i="1"/>
  <c r="C993" i="1"/>
  <c r="O992" i="1"/>
  <c r="C992" i="1"/>
  <c r="O991" i="1"/>
  <c r="C991" i="1"/>
  <c r="O990" i="1"/>
  <c r="C990" i="1"/>
  <c r="O989" i="1"/>
  <c r="C989" i="1"/>
  <c r="O988" i="1"/>
  <c r="C988" i="1"/>
  <c r="O987" i="1"/>
  <c r="C987" i="1"/>
  <c r="O986" i="1"/>
  <c r="C986" i="1"/>
  <c r="O985" i="1"/>
  <c r="C985" i="1"/>
  <c r="O984" i="1"/>
  <c r="C984" i="1"/>
  <c r="O983" i="1"/>
  <c r="C983" i="1"/>
  <c r="O982" i="1"/>
  <c r="C982" i="1"/>
  <c r="O981" i="1"/>
  <c r="C981" i="1"/>
  <c r="O980" i="1"/>
  <c r="C980" i="1"/>
  <c r="O979" i="1"/>
  <c r="C979" i="1"/>
  <c r="O978" i="1"/>
  <c r="C978" i="1"/>
  <c r="O977" i="1"/>
  <c r="C977" i="1"/>
  <c r="O976" i="1"/>
  <c r="C976" i="1"/>
  <c r="O975" i="1"/>
  <c r="C975" i="1"/>
  <c r="O974" i="1"/>
  <c r="C974" i="1"/>
  <c r="O973" i="1"/>
  <c r="C973" i="1"/>
  <c r="O972" i="1"/>
  <c r="C972" i="1"/>
  <c r="O971" i="1"/>
  <c r="C971" i="1"/>
  <c r="O970" i="1"/>
  <c r="C970" i="1"/>
  <c r="O969" i="1"/>
  <c r="C969" i="1"/>
  <c r="O968" i="1"/>
  <c r="C968" i="1"/>
  <c r="O967" i="1"/>
  <c r="C967" i="1"/>
  <c r="O966" i="1"/>
  <c r="C966" i="1"/>
  <c r="O965" i="1"/>
  <c r="C965" i="1"/>
  <c r="O964" i="1"/>
  <c r="C964" i="1"/>
  <c r="O963" i="1"/>
  <c r="C963" i="1"/>
  <c r="O962" i="1"/>
  <c r="C962" i="1"/>
  <c r="O961" i="1"/>
  <c r="C961" i="1"/>
  <c r="O960" i="1"/>
  <c r="C960" i="1"/>
  <c r="O959" i="1"/>
  <c r="C959" i="1"/>
  <c r="O958" i="1"/>
  <c r="C958" i="1"/>
  <c r="O957" i="1"/>
  <c r="C957" i="1"/>
  <c r="O956" i="1"/>
  <c r="C956" i="1"/>
  <c r="O955" i="1"/>
  <c r="C955" i="1"/>
  <c r="O954" i="1"/>
  <c r="C954" i="1"/>
  <c r="O953" i="1"/>
  <c r="C953" i="1"/>
  <c r="O952" i="1"/>
  <c r="C952" i="1"/>
  <c r="O951" i="1"/>
  <c r="C951" i="1"/>
  <c r="O950" i="1"/>
  <c r="C950" i="1"/>
  <c r="O949" i="1"/>
  <c r="C949" i="1"/>
  <c r="O948" i="1"/>
  <c r="C948" i="1"/>
  <c r="O947" i="1"/>
  <c r="C947" i="1"/>
  <c r="O946" i="1"/>
  <c r="C946" i="1"/>
  <c r="O945" i="1"/>
  <c r="C945" i="1"/>
  <c r="O944" i="1"/>
  <c r="C944" i="1"/>
  <c r="O943" i="1"/>
  <c r="C943" i="1"/>
  <c r="O942" i="1"/>
  <c r="C942" i="1"/>
  <c r="O941" i="1"/>
  <c r="C941" i="1"/>
  <c r="O940" i="1"/>
  <c r="C940" i="1"/>
  <c r="O939" i="1"/>
  <c r="C939" i="1"/>
  <c r="O938" i="1"/>
  <c r="C938" i="1"/>
  <c r="O937" i="1"/>
  <c r="C937" i="1"/>
  <c r="O936" i="1"/>
  <c r="C936" i="1"/>
  <c r="O935" i="1"/>
  <c r="C935" i="1"/>
  <c r="O934" i="1"/>
  <c r="C934" i="1"/>
  <c r="O933" i="1"/>
  <c r="C933" i="1"/>
  <c r="O932" i="1"/>
  <c r="C932" i="1"/>
  <c r="O931" i="1"/>
  <c r="C931" i="1"/>
  <c r="O930" i="1"/>
  <c r="C930" i="1"/>
  <c r="O929" i="1"/>
  <c r="C929" i="1"/>
  <c r="O928" i="1"/>
  <c r="C928" i="1"/>
  <c r="O927" i="1"/>
  <c r="C927" i="1"/>
  <c r="O926" i="1"/>
  <c r="C926" i="1"/>
  <c r="O925" i="1"/>
  <c r="C925" i="1"/>
  <c r="O924" i="1"/>
  <c r="C924" i="1"/>
  <c r="O923" i="1"/>
  <c r="C923" i="1"/>
  <c r="O922" i="1"/>
  <c r="C922" i="1"/>
  <c r="O921" i="1"/>
  <c r="C921" i="1"/>
  <c r="O920" i="1"/>
  <c r="C920" i="1"/>
  <c r="O919" i="1"/>
  <c r="C919" i="1"/>
  <c r="O918" i="1"/>
  <c r="C918" i="1"/>
  <c r="O917" i="1"/>
  <c r="C917" i="1"/>
  <c r="O916" i="1"/>
  <c r="C916" i="1"/>
  <c r="O915" i="1"/>
  <c r="C915" i="1"/>
  <c r="O914" i="1"/>
  <c r="C914" i="1"/>
  <c r="O913" i="1"/>
  <c r="C913" i="1"/>
  <c r="O912" i="1"/>
  <c r="C912" i="1"/>
  <c r="O911" i="1"/>
  <c r="C911" i="1"/>
  <c r="O910" i="1"/>
  <c r="C910" i="1"/>
  <c r="O909" i="1"/>
  <c r="C909" i="1"/>
  <c r="O908" i="1"/>
  <c r="C908" i="1"/>
  <c r="O907" i="1"/>
  <c r="C907" i="1"/>
  <c r="O906" i="1"/>
  <c r="C906" i="1"/>
  <c r="O905" i="1"/>
  <c r="C905" i="1"/>
  <c r="O904" i="1"/>
  <c r="C904" i="1"/>
  <c r="O903" i="1"/>
  <c r="C903" i="1"/>
  <c r="O902" i="1"/>
  <c r="C902" i="1"/>
  <c r="O901" i="1"/>
  <c r="C901" i="1"/>
  <c r="O900" i="1"/>
  <c r="C900" i="1"/>
  <c r="O899" i="1"/>
  <c r="C899" i="1"/>
  <c r="O898" i="1"/>
  <c r="C898" i="1"/>
  <c r="O897" i="1"/>
  <c r="C897" i="1"/>
  <c r="O896" i="1"/>
  <c r="C896" i="1"/>
  <c r="O895" i="1"/>
  <c r="C895" i="1"/>
  <c r="O894" i="1"/>
  <c r="C894" i="1"/>
  <c r="O893" i="1"/>
  <c r="C893" i="1"/>
  <c r="O892" i="1"/>
  <c r="C892" i="1"/>
  <c r="O891" i="1"/>
  <c r="C891" i="1"/>
  <c r="O890" i="1"/>
  <c r="C890" i="1"/>
  <c r="O889" i="1"/>
  <c r="C889" i="1"/>
  <c r="O888" i="1"/>
  <c r="C888" i="1"/>
  <c r="O887" i="1"/>
  <c r="C887" i="1"/>
  <c r="O886" i="1"/>
  <c r="C886" i="1"/>
  <c r="O885" i="1"/>
  <c r="C885" i="1"/>
  <c r="O884" i="1"/>
  <c r="C884" i="1"/>
  <c r="O883" i="1"/>
  <c r="C883" i="1"/>
  <c r="O882" i="1"/>
  <c r="C882" i="1"/>
  <c r="O881" i="1"/>
  <c r="C881" i="1"/>
  <c r="O880" i="1"/>
  <c r="C880" i="1"/>
  <c r="O879" i="1"/>
  <c r="C879" i="1"/>
  <c r="O878" i="1"/>
  <c r="C878" i="1"/>
  <c r="O877" i="1"/>
  <c r="C877" i="1"/>
  <c r="O876" i="1"/>
  <c r="C876" i="1"/>
  <c r="O875" i="1"/>
  <c r="C875" i="1"/>
  <c r="O874" i="1"/>
  <c r="C874" i="1"/>
  <c r="O873" i="1"/>
  <c r="C873" i="1"/>
  <c r="O872" i="1"/>
  <c r="C872" i="1"/>
  <c r="O871" i="1"/>
  <c r="C871" i="1"/>
  <c r="O870" i="1"/>
  <c r="C870" i="1"/>
  <c r="O869" i="1"/>
  <c r="C869" i="1"/>
  <c r="O868" i="1"/>
  <c r="C868" i="1"/>
  <c r="O867" i="1"/>
  <c r="C867" i="1"/>
  <c r="O866" i="1"/>
  <c r="C866" i="1"/>
  <c r="O865" i="1"/>
  <c r="C865" i="1"/>
  <c r="O864" i="1"/>
  <c r="C864" i="1"/>
  <c r="O863" i="1"/>
  <c r="C863" i="1"/>
  <c r="O862" i="1"/>
  <c r="C862" i="1"/>
  <c r="O861" i="1"/>
  <c r="C861" i="1"/>
  <c r="O860" i="1"/>
  <c r="C860" i="1"/>
  <c r="O859" i="1"/>
  <c r="C859" i="1"/>
  <c r="O858" i="1"/>
  <c r="C858" i="1"/>
  <c r="O857" i="1"/>
  <c r="C857" i="1"/>
  <c r="O856" i="1"/>
  <c r="C856" i="1"/>
  <c r="O855" i="1"/>
  <c r="C855" i="1"/>
  <c r="O854" i="1"/>
  <c r="C854" i="1"/>
  <c r="O853" i="1"/>
  <c r="C853" i="1"/>
  <c r="O852" i="1"/>
  <c r="C852" i="1"/>
  <c r="O851" i="1"/>
  <c r="C851" i="1"/>
  <c r="O850" i="1"/>
  <c r="C850" i="1"/>
  <c r="O849" i="1"/>
  <c r="C849" i="1"/>
  <c r="O848" i="1"/>
  <c r="C848" i="1"/>
  <c r="O847" i="1"/>
  <c r="C847" i="1"/>
  <c r="O846" i="1"/>
  <c r="C846" i="1"/>
  <c r="O845" i="1"/>
  <c r="C845" i="1"/>
  <c r="O844" i="1"/>
  <c r="C844" i="1"/>
  <c r="O843" i="1"/>
  <c r="C843" i="1"/>
  <c r="O842" i="1"/>
  <c r="C842" i="1"/>
  <c r="O841" i="1"/>
  <c r="C841" i="1"/>
  <c r="O840" i="1"/>
  <c r="C840" i="1"/>
  <c r="O839" i="1"/>
  <c r="C839" i="1"/>
  <c r="O838" i="1"/>
  <c r="C838" i="1"/>
  <c r="O837" i="1"/>
  <c r="C837" i="1"/>
  <c r="O836" i="1"/>
  <c r="C836" i="1"/>
  <c r="O835" i="1"/>
  <c r="C835" i="1"/>
  <c r="O834" i="1"/>
  <c r="C834" i="1"/>
  <c r="O833" i="1"/>
  <c r="C833" i="1"/>
  <c r="O832" i="1"/>
  <c r="C832" i="1"/>
  <c r="O831" i="1"/>
  <c r="C831" i="1"/>
  <c r="O830" i="1"/>
  <c r="C830" i="1"/>
  <c r="O829" i="1"/>
  <c r="C829" i="1"/>
  <c r="O828" i="1"/>
  <c r="C828" i="1"/>
  <c r="O827" i="1"/>
  <c r="C827" i="1"/>
  <c r="O826" i="1"/>
  <c r="C826" i="1"/>
  <c r="O825" i="1"/>
  <c r="C825" i="1"/>
  <c r="O824" i="1"/>
  <c r="C824" i="1"/>
  <c r="O823" i="1"/>
  <c r="C823" i="1"/>
  <c r="O822" i="1"/>
  <c r="C822" i="1"/>
  <c r="O821" i="1"/>
  <c r="C821" i="1"/>
  <c r="O820" i="1"/>
  <c r="C820" i="1"/>
  <c r="O819" i="1"/>
  <c r="C819" i="1"/>
  <c r="O818" i="1"/>
  <c r="C818" i="1"/>
  <c r="O817" i="1"/>
  <c r="C817" i="1"/>
  <c r="O816" i="1"/>
  <c r="C816" i="1"/>
  <c r="O815" i="1"/>
  <c r="C815" i="1"/>
  <c r="O814" i="1"/>
  <c r="C814" i="1"/>
  <c r="O813" i="1"/>
  <c r="C813" i="1"/>
  <c r="O812" i="1"/>
  <c r="C812" i="1"/>
  <c r="O811" i="1"/>
  <c r="C811" i="1"/>
  <c r="O810" i="1"/>
  <c r="C810" i="1"/>
  <c r="O809" i="1"/>
  <c r="C809" i="1"/>
  <c r="O808" i="1"/>
  <c r="C808" i="1"/>
  <c r="O807" i="1"/>
  <c r="C807" i="1"/>
  <c r="O806" i="1"/>
  <c r="C806" i="1"/>
  <c r="O805" i="1"/>
  <c r="C805" i="1"/>
  <c r="O804" i="1"/>
  <c r="C804" i="1"/>
  <c r="O803" i="1"/>
  <c r="C803" i="1"/>
  <c r="O802" i="1"/>
  <c r="C802" i="1"/>
  <c r="O801" i="1"/>
  <c r="C801" i="1"/>
  <c r="O800" i="1"/>
  <c r="C800" i="1"/>
  <c r="O799" i="1"/>
  <c r="C799" i="1"/>
  <c r="O798" i="1"/>
  <c r="C798" i="1"/>
  <c r="O797" i="1"/>
  <c r="C797" i="1"/>
  <c r="O796" i="1"/>
  <c r="C796" i="1"/>
  <c r="O795" i="1"/>
  <c r="C795" i="1"/>
  <c r="O794" i="1"/>
  <c r="C794" i="1"/>
  <c r="O793" i="1"/>
  <c r="C793" i="1"/>
  <c r="O792" i="1"/>
  <c r="C792" i="1"/>
  <c r="O791" i="1"/>
  <c r="C791" i="1"/>
  <c r="O790" i="1"/>
  <c r="C790" i="1"/>
  <c r="O789" i="1"/>
  <c r="C789" i="1"/>
  <c r="O788" i="1"/>
  <c r="C788" i="1"/>
  <c r="O787" i="1"/>
  <c r="C787" i="1"/>
  <c r="O786" i="1"/>
  <c r="C786" i="1"/>
  <c r="O785" i="1"/>
  <c r="C785" i="1"/>
  <c r="O784" i="1"/>
  <c r="C784" i="1"/>
  <c r="O783" i="1"/>
  <c r="C783" i="1"/>
  <c r="O782" i="1"/>
  <c r="C782" i="1"/>
  <c r="O781" i="1"/>
  <c r="C781" i="1"/>
  <c r="O780" i="1"/>
  <c r="C780" i="1"/>
  <c r="O779" i="1"/>
  <c r="C779" i="1"/>
  <c r="O778" i="1"/>
  <c r="C778" i="1"/>
  <c r="O777" i="1"/>
  <c r="C777" i="1"/>
  <c r="O776" i="1"/>
  <c r="C776" i="1"/>
  <c r="O775" i="1"/>
  <c r="C775" i="1"/>
  <c r="O774" i="1"/>
  <c r="C774" i="1"/>
  <c r="O773" i="1"/>
  <c r="C773" i="1"/>
  <c r="O772" i="1"/>
  <c r="C772" i="1"/>
  <c r="O771" i="1"/>
  <c r="C771" i="1"/>
  <c r="O770" i="1"/>
  <c r="C770" i="1"/>
  <c r="O769" i="1"/>
  <c r="C769" i="1"/>
  <c r="O768" i="1"/>
  <c r="C768" i="1"/>
  <c r="O767" i="1"/>
  <c r="C767" i="1"/>
  <c r="O766" i="1"/>
  <c r="C766" i="1"/>
  <c r="O765" i="1"/>
  <c r="C765" i="1"/>
  <c r="O764" i="1"/>
  <c r="C764" i="1"/>
  <c r="O763" i="1"/>
  <c r="C763" i="1"/>
  <c r="O762" i="1"/>
  <c r="C762" i="1"/>
  <c r="O761" i="1"/>
  <c r="C761" i="1"/>
  <c r="O760" i="1"/>
  <c r="C760" i="1"/>
  <c r="O759" i="1"/>
  <c r="C759" i="1"/>
  <c r="O758" i="1"/>
  <c r="C758" i="1"/>
  <c r="O757" i="1"/>
  <c r="C757" i="1"/>
  <c r="O756" i="1"/>
  <c r="C756" i="1"/>
  <c r="O755" i="1"/>
  <c r="C755" i="1"/>
  <c r="O754" i="1"/>
  <c r="C754" i="1"/>
  <c r="O753" i="1"/>
  <c r="C753" i="1"/>
  <c r="O752" i="1"/>
  <c r="C752" i="1"/>
  <c r="O751" i="1"/>
  <c r="C751" i="1"/>
  <c r="O750" i="1"/>
  <c r="C750" i="1"/>
  <c r="O749" i="1"/>
  <c r="C749" i="1"/>
  <c r="O748" i="1"/>
  <c r="C748" i="1"/>
  <c r="O747" i="1"/>
  <c r="C747" i="1"/>
  <c r="O746" i="1"/>
  <c r="C746" i="1"/>
  <c r="O745" i="1"/>
  <c r="C745" i="1"/>
  <c r="O744" i="1"/>
  <c r="C744" i="1"/>
  <c r="O743" i="1"/>
  <c r="C743" i="1"/>
  <c r="O742" i="1"/>
  <c r="C742" i="1"/>
  <c r="O741" i="1"/>
  <c r="C741" i="1"/>
  <c r="O740" i="1"/>
  <c r="C740" i="1"/>
  <c r="O739" i="1"/>
  <c r="C739" i="1"/>
  <c r="O738" i="1"/>
  <c r="C738" i="1"/>
  <c r="O737" i="1"/>
  <c r="C737" i="1"/>
  <c r="O736" i="1"/>
  <c r="C736" i="1"/>
  <c r="O735" i="1"/>
  <c r="C735" i="1"/>
  <c r="O734" i="1"/>
  <c r="C734" i="1"/>
  <c r="O733" i="1"/>
  <c r="C733" i="1"/>
  <c r="O732" i="1"/>
  <c r="C732" i="1"/>
  <c r="O731" i="1"/>
  <c r="C731" i="1"/>
  <c r="O730" i="1"/>
  <c r="C730" i="1"/>
  <c r="O729" i="1"/>
  <c r="C729" i="1"/>
  <c r="O728" i="1"/>
  <c r="C728" i="1"/>
  <c r="O727" i="1"/>
  <c r="C727" i="1"/>
  <c r="O726" i="1"/>
  <c r="C726" i="1"/>
  <c r="O725" i="1"/>
  <c r="C725" i="1"/>
  <c r="O724" i="1"/>
  <c r="C724" i="1"/>
  <c r="O723" i="1"/>
  <c r="C723" i="1"/>
  <c r="O722" i="1"/>
  <c r="C722" i="1"/>
  <c r="O721" i="1"/>
  <c r="C721" i="1"/>
  <c r="O720" i="1"/>
  <c r="C720" i="1"/>
  <c r="O719" i="1"/>
  <c r="C719" i="1"/>
  <c r="O718" i="1"/>
  <c r="C718" i="1"/>
  <c r="O717" i="1"/>
  <c r="C717" i="1"/>
  <c r="O716" i="1"/>
  <c r="C716" i="1"/>
  <c r="O715" i="1"/>
  <c r="C715" i="1"/>
  <c r="O714" i="1"/>
  <c r="C714" i="1"/>
  <c r="O713" i="1"/>
  <c r="C713" i="1"/>
  <c r="O712" i="1"/>
  <c r="C712" i="1"/>
  <c r="O711" i="1"/>
  <c r="C711" i="1"/>
  <c r="O710" i="1"/>
  <c r="C710" i="1"/>
  <c r="O709" i="1"/>
  <c r="C709" i="1"/>
  <c r="O708" i="1"/>
  <c r="C708" i="1"/>
  <c r="O707" i="1"/>
  <c r="C707" i="1"/>
  <c r="O706" i="1"/>
  <c r="C706" i="1"/>
  <c r="O705" i="1"/>
  <c r="C705" i="1"/>
  <c r="O704" i="1"/>
  <c r="C704" i="1"/>
  <c r="O703" i="1"/>
  <c r="C703" i="1"/>
  <c r="O702" i="1"/>
  <c r="C702" i="1"/>
  <c r="O701" i="1"/>
  <c r="C701" i="1"/>
  <c r="O700" i="1"/>
  <c r="C700" i="1"/>
  <c r="O699" i="1"/>
  <c r="C699" i="1"/>
  <c r="O698" i="1"/>
  <c r="C698" i="1"/>
  <c r="O697" i="1"/>
  <c r="C697" i="1"/>
  <c r="O696" i="1"/>
  <c r="C696" i="1"/>
  <c r="O695" i="1"/>
  <c r="C695" i="1"/>
  <c r="O694" i="1"/>
  <c r="C694" i="1"/>
  <c r="O693" i="1"/>
  <c r="C693" i="1"/>
  <c r="O692" i="1"/>
  <c r="C692" i="1"/>
  <c r="O691" i="1"/>
  <c r="C691" i="1"/>
  <c r="O690" i="1"/>
  <c r="C690" i="1"/>
  <c r="O689" i="1"/>
  <c r="C689" i="1"/>
  <c r="O688" i="1"/>
  <c r="C688" i="1"/>
  <c r="O687" i="1"/>
  <c r="C687" i="1"/>
  <c r="O686" i="1"/>
  <c r="C686" i="1"/>
  <c r="O685" i="1"/>
  <c r="C685" i="1"/>
  <c r="O684" i="1"/>
  <c r="C684" i="1"/>
  <c r="O683" i="1"/>
  <c r="C683" i="1"/>
  <c r="O682" i="1"/>
  <c r="C682" i="1"/>
  <c r="O681" i="1"/>
  <c r="C681" i="1"/>
  <c r="O680" i="1"/>
  <c r="C680" i="1"/>
  <c r="O679" i="1"/>
  <c r="C679" i="1"/>
  <c r="O678" i="1"/>
  <c r="C678" i="1"/>
  <c r="O677" i="1"/>
  <c r="C677" i="1"/>
  <c r="O676" i="1"/>
  <c r="C676" i="1"/>
  <c r="O675" i="1"/>
  <c r="C675" i="1"/>
  <c r="O674" i="1"/>
  <c r="C674" i="1"/>
  <c r="O673" i="1"/>
  <c r="C673" i="1"/>
  <c r="O672" i="1"/>
  <c r="C672" i="1"/>
  <c r="O671" i="1"/>
  <c r="C671" i="1"/>
  <c r="O670" i="1"/>
  <c r="C670" i="1"/>
  <c r="O669" i="1"/>
  <c r="C669" i="1"/>
  <c r="O668" i="1"/>
  <c r="C668" i="1"/>
  <c r="O667" i="1"/>
  <c r="C667" i="1"/>
  <c r="O666" i="1"/>
  <c r="C666" i="1"/>
  <c r="O665" i="1"/>
  <c r="C665" i="1"/>
  <c r="O664" i="1"/>
  <c r="C664" i="1"/>
  <c r="O663" i="1"/>
  <c r="C663" i="1"/>
  <c r="O662" i="1"/>
  <c r="C662" i="1"/>
  <c r="O661" i="1"/>
  <c r="C661" i="1"/>
  <c r="O660" i="1"/>
  <c r="C660" i="1"/>
  <c r="O659" i="1"/>
  <c r="C659" i="1"/>
  <c r="O658" i="1"/>
  <c r="C658" i="1"/>
  <c r="O657" i="1"/>
  <c r="C657" i="1"/>
  <c r="O656" i="1"/>
  <c r="C656" i="1"/>
  <c r="O655" i="1"/>
  <c r="C655" i="1"/>
  <c r="O654" i="1"/>
  <c r="C654" i="1"/>
  <c r="O653" i="1"/>
  <c r="C653" i="1"/>
  <c r="O652" i="1"/>
  <c r="C652" i="1"/>
  <c r="O651" i="1"/>
  <c r="C651" i="1"/>
  <c r="O650" i="1"/>
  <c r="C650" i="1"/>
  <c r="O649" i="1"/>
  <c r="C649" i="1"/>
  <c r="O648" i="1"/>
  <c r="C648" i="1"/>
  <c r="O647" i="1"/>
  <c r="C647" i="1"/>
  <c r="O646" i="1"/>
  <c r="C646" i="1"/>
  <c r="O645" i="1"/>
  <c r="C645" i="1"/>
  <c r="O644" i="1"/>
  <c r="C644" i="1"/>
  <c r="O643" i="1"/>
  <c r="C643" i="1"/>
  <c r="O642" i="1"/>
  <c r="C642" i="1"/>
  <c r="O641" i="1"/>
  <c r="C641" i="1"/>
  <c r="O640" i="1"/>
  <c r="C640" i="1"/>
  <c r="O639" i="1"/>
  <c r="C639" i="1"/>
  <c r="O638" i="1"/>
  <c r="C638" i="1"/>
  <c r="O637" i="1"/>
  <c r="C637" i="1"/>
  <c r="O636" i="1"/>
  <c r="C636" i="1"/>
  <c r="O635" i="1"/>
  <c r="C635" i="1"/>
  <c r="O634" i="1"/>
  <c r="C634" i="1"/>
  <c r="O633" i="1"/>
  <c r="C633" i="1"/>
  <c r="O632" i="1"/>
  <c r="C632" i="1"/>
  <c r="O631" i="1"/>
  <c r="C631" i="1"/>
  <c r="O630" i="1"/>
  <c r="C630" i="1"/>
  <c r="O629" i="1"/>
  <c r="C629" i="1"/>
  <c r="O628" i="1"/>
  <c r="C628" i="1"/>
  <c r="O627" i="1"/>
  <c r="C627" i="1"/>
  <c r="O626" i="1"/>
  <c r="C626" i="1"/>
  <c r="O625" i="1"/>
  <c r="C625" i="1"/>
  <c r="O624" i="1"/>
  <c r="C624" i="1"/>
  <c r="O623" i="1"/>
  <c r="C623" i="1"/>
  <c r="O622" i="1"/>
  <c r="C622" i="1"/>
  <c r="O621" i="1"/>
  <c r="C621" i="1"/>
  <c r="O620" i="1"/>
  <c r="C620" i="1"/>
  <c r="O619" i="1"/>
  <c r="C619" i="1"/>
  <c r="O618" i="1"/>
  <c r="C618" i="1"/>
  <c r="O617" i="1"/>
  <c r="C617" i="1"/>
  <c r="O616" i="1"/>
  <c r="C616" i="1"/>
  <c r="O615" i="1"/>
  <c r="C615" i="1"/>
  <c r="O614" i="1"/>
  <c r="C614" i="1"/>
  <c r="O613" i="1"/>
  <c r="C613" i="1"/>
  <c r="O612" i="1"/>
  <c r="C612" i="1"/>
  <c r="O611" i="1"/>
  <c r="C611" i="1"/>
  <c r="O610" i="1"/>
  <c r="C610" i="1"/>
  <c r="O609" i="1"/>
  <c r="C609" i="1"/>
  <c r="O608" i="1"/>
  <c r="C608" i="1"/>
  <c r="O607" i="1"/>
  <c r="C607" i="1"/>
  <c r="O606" i="1"/>
  <c r="C606" i="1"/>
  <c r="O605" i="1"/>
  <c r="C605" i="1"/>
  <c r="O604" i="1"/>
  <c r="C604" i="1"/>
  <c r="O603" i="1"/>
  <c r="C603" i="1"/>
  <c r="O602" i="1"/>
  <c r="C602" i="1"/>
  <c r="O601" i="1"/>
  <c r="C601" i="1"/>
  <c r="O600" i="1"/>
  <c r="C600" i="1"/>
  <c r="O599" i="1"/>
  <c r="C599" i="1"/>
  <c r="O598" i="1"/>
  <c r="C598" i="1"/>
  <c r="O597" i="1"/>
  <c r="C597" i="1"/>
  <c r="O596" i="1"/>
  <c r="C596" i="1"/>
  <c r="O595" i="1"/>
  <c r="C595" i="1"/>
  <c r="O594" i="1"/>
  <c r="C594" i="1"/>
  <c r="O593" i="1"/>
  <c r="C593" i="1"/>
  <c r="O592" i="1"/>
  <c r="C592" i="1"/>
  <c r="O591" i="1"/>
  <c r="C591" i="1"/>
  <c r="O590" i="1"/>
  <c r="C590" i="1"/>
  <c r="O589" i="1"/>
  <c r="C589" i="1"/>
  <c r="O588" i="1"/>
  <c r="C588" i="1"/>
  <c r="O587" i="1"/>
  <c r="C587" i="1"/>
  <c r="O586" i="1"/>
  <c r="C586" i="1"/>
  <c r="O585" i="1"/>
  <c r="C585" i="1"/>
  <c r="O584" i="1"/>
  <c r="C584" i="1"/>
  <c r="O583" i="1"/>
  <c r="C583" i="1"/>
  <c r="O582" i="1"/>
  <c r="C582" i="1"/>
  <c r="O581" i="1"/>
  <c r="C581" i="1"/>
  <c r="O580" i="1"/>
  <c r="C580" i="1"/>
  <c r="O579" i="1"/>
  <c r="C579" i="1"/>
  <c r="O578" i="1"/>
  <c r="C578" i="1"/>
  <c r="O577" i="1"/>
  <c r="C577" i="1"/>
  <c r="O576" i="1"/>
  <c r="C576" i="1"/>
  <c r="O575" i="1"/>
  <c r="C575" i="1"/>
  <c r="O574" i="1"/>
  <c r="C574" i="1"/>
  <c r="O573" i="1"/>
  <c r="C573" i="1"/>
  <c r="O572" i="1"/>
  <c r="C572" i="1"/>
  <c r="O571" i="1"/>
  <c r="C571" i="1"/>
  <c r="O570" i="1"/>
  <c r="C570" i="1"/>
  <c r="O569" i="1"/>
  <c r="C569" i="1"/>
  <c r="O568" i="1"/>
  <c r="C568" i="1"/>
  <c r="O567" i="1"/>
  <c r="C567" i="1"/>
  <c r="O566" i="1"/>
  <c r="C566" i="1"/>
  <c r="O565" i="1"/>
  <c r="C565" i="1"/>
  <c r="O564" i="1"/>
  <c r="C564" i="1"/>
  <c r="O563" i="1"/>
  <c r="C563" i="1"/>
  <c r="O562" i="1"/>
  <c r="C562" i="1"/>
  <c r="O561" i="1"/>
  <c r="C561" i="1"/>
  <c r="O560" i="1"/>
  <c r="C560" i="1"/>
  <c r="O559" i="1"/>
  <c r="C559" i="1"/>
  <c r="O558" i="1"/>
  <c r="C558" i="1"/>
  <c r="O557" i="1"/>
  <c r="C557" i="1"/>
  <c r="O556" i="1"/>
  <c r="C556" i="1"/>
  <c r="O555" i="1"/>
  <c r="C555" i="1"/>
  <c r="O554" i="1"/>
  <c r="C554" i="1"/>
  <c r="O553" i="1"/>
  <c r="C553" i="1"/>
  <c r="O552" i="1"/>
  <c r="C552" i="1"/>
  <c r="O551" i="1"/>
  <c r="C551" i="1"/>
  <c r="O550" i="1"/>
  <c r="C550" i="1"/>
  <c r="O549" i="1"/>
  <c r="C549" i="1"/>
  <c r="O548" i="1"/>
  <c r="C548" i="1"/>
  <c r="O547" i="1"/>
  <c r="C547" i="1"/>
  <c r="O546" i="1"/>
  <c r="C546" i="1"/>
  <c r="O545" i="1"/>
  <c r="C545" i="1"/>
  <c r="O544" i="1"/>
  <c r="C544" i="1"/>
  <c r="O543" i="1"/>
  <c r="C543" i="1"/>
  <c r="O542" i="1"/>
  <c r="C542" i="1"/>
  <c r="O541" i="1"/>
  <c r="C541" i="1"/>
  <c r="O540" i="1"/>
  <c r="C540" i="1"/>
  <c r="O539" i="1"/>
  <c r="C539" i="1"/>
  <c r="O538" i="1"/>
  <c r="C538" i="1"/>
  <c r="O537" i="1"/>
  <c r="C537" i="1"/>
  <c r="O536" i="1"/>
  <c r="C536" i="1"/>
  <c r="O535" i="1"/>
  <c r="C535" i="1"/>
  <c r="O534" i="1"/>
  <c r="C534" i="1"/>
  <c r="O533" i="1"/>
  <c r="C533" i="1"/>
  <c r="O532" i="1"/>
  <c r="C532" i="1"/>
  <c r="O531" i="1"/>
  <c r="C531" i="1"/>
  <c r="O530" i="1"/>
  <c r="C530" i="1"/>
  <c r="O529" i="1"/>
  <c r="C529" i="1"/>
  <c r="O528" i="1"/>
  <c r="C528" i="1"/>
  <c r="O527" i="1"/>
  <c r="C527" i="1"/>
  <c r="O526" i="1"/>
  <c r="C526" i="1"/>
  <c r="O525" i="1"/>
  <c r="C525" i="1"/>
  <c r="O524" i="1"/>
  <c r="C524" i="1"/>
  <c r="O523" i="1"/>
  <c r="C523" i="1"/>
  <c r="O522" i="1"/>
  <c r="C522" i="1"/>
  <c r="O521" i="1"/>
  <c r="C521" i="1"/>
  <c r="O520" i="1"/>
  <c r="C520" i="1"/>
  <c r="O519" i="1"/>
  <c r="C519" i="1"/>
  <c r="O518" i="1"/>
  <c r="C518" i="1"/>
  <c r="O517" i="1"/>
  <c r="C517" i="1"/>
  <c r="O516" i="1"/>
  <c r="C516" i="1"/>
  <c r="O515" i="1"/>
  <c r="C515" i="1"/>
  <c r="O514" i="1"/>
  <c r="C514" i="1"/>
  <c r="O513" i="1"/>
  <c r="C513" i="1"/>
  <c r="O512" i="1"/>
  <c r="C512" i="1"/>
  <c r="O511" i="1"/>
  <c r="C511" i="1"/>
  <c r="O510" i="1"/>
  <c r="C510" i="1"/>
  <c r="O509" i="1"/>
  <c r="C509" i="1"/>
  <c r="O508" i="1"/>
  <c r="C508" i="1"/>
  <c r="O507" i="1"/>
  <c r="C507" i="1"/>
  <c r="O506" i="1"/>
  <c r="C506" i="1"/>
  <c r="O505" i="1"/>
  <c r="C505" i="1"/>
  <c r="O504" i="1"/>
  <c r="C504" i="1"/>
  <c r="O503" i="1"/>
  <c r="C503" i="1"/>
  <c r="O502" i="1"/>
  <c r="C502" i="1"/>
  <c r="O501" i="1"/>
  <c r="C501" i="1"/>
  <c r="O500" i="1"/>
  <c r="C500" i="1"/>
  <c r="O499" i="1"/>
  <c r="C499" i="1"/>
  <c r="O498" i="1"/>
  <c r="C498" i="1"/>
  <c r="O497" i="1"/>
  <c r="C497" i="1"/>
  <c r="O496" i="1"/>
  <c r="C496" i="1"/>
  <c r="O495" i="1"/>
  <c r="C495" i="1"/>
  <c r="O494" i="1"/>
  <c r="C494" i="1"/>
  <c r="O493" i="1"/>
  <c r="C493" i="1"/>
  <c r="O492" i="1"/>
  <c r="C492" i="1"/>
  <c r="O491" i="1"/>
  <c r="C491" i="1"/>
  <c r="O490" i="1"/>
  <c r="C490" i="1"/>
  <c r="O489" i="1"/>
  <c r="C489" i="1"/>
  <c r="O488" i="1"/>
  <c r="C488" i="1"/>
  <c r="O487" i="1"/>
  <c r="C487" i="1"/>
  <c r="O486" i="1"/>
  <c r="C486" i="1"/>
  <c r="O485" i="1"/>
  <c r="C485" i="1"/>
  <c r="O484" i="1"/>
  <c r="C484" i="1"/>
  <c r="O483" i="1"/>
  <c r="C483" i="1"/>
  <c r="O482" i="1"/>
  <c r="C482" i="1"/>
  <c r="O481" i="1"/>
  <c r="C481" i="1"/>
  <c r="O480" i="1"/>
  <c r="C480" i="1"/>
  <c r="O479" i="1"/>
  <c r="C479" i="1"/>
  <c r="O478" i="1"/>
  <c r="C478" i="1"/>
  <c r="O477" i="1"/>
  <c r="C477" i="1"/>
  <c r="O476" i="1"/>
  <c r="C476" i="1"/>
  <c r="O475" i="1"/>
  <c r="C475" i="1"/>
  <c r="O474" i="1"/>
  <c r="C474" i="1"/>
  <c r="O473" i="1"/>
  <c r="C473" i="1"/>
  <c r="O472" i="1"/>
  <c r="C472" i="1"/>
  <c r="O471" i="1"/>
  <c r="C471" i="1"/>
  <c r="O470" i="1"/>
  <c r="C470" i="1"/>
  <c r="O469" i="1"/>
  <c r="C469" i="1"/>
  <c r="O468" i="1"/>
  <c r="C468" i="1"/>
  <c r="O467" i="1"/>
  <c r="C467" i="1"/>
  <c r="O466" i="1"/>
  <c r="C466" i="1"/>
  <c r="O465" i="1"/>
  <c r="C465" i="1"/>
  <c r="O464" i="1"/>
  <c r="C464" i="1"/>
  <c r="O463" i="1"/>
  <c r="C463" i="1"/>
  <c r="O462" i="1"/>
  <c r="C462" i="1"/>
  <c r="O461" i="1"/>
  <c r="C461" i="1"/>
  <c r="O460" i="1"/>
  <c r="C460" i="1"/>
  <c r="O459" i="1"/>
  <c r="C459" i="1"/>
  <c r="O458" i="1"/>
  <c r="C458" i="1"/>
  <c r="O457" i="1"/>
  <c r="C457" i="1"/>
  <c r="O456" i="1"/>
  <c r="C456" i="1"/>
  <c r="O455" i="1"/>
  <c r="C455" i="1"/>
  <c r="O454" i="1"/>
  <c r="C454" i="1"/>
  <c r="O453" i="1"/>
  <c r="C453" i="1"/>
  <c r="O452" i="1"/>
  <c r="C452" i="1"/>
  <c r="O451" i="1"/>
  <c r="C451" i="1"/>
  <c r="O450" i="1"/>
  <c r="C450" i="1"/>
  <c r="O449" i="1"/>
  <c r="C449" i="1"/>
  <c r="O448" i="1"/>
  <c r="C448" i="1"/>
  <c r="O447" i="1"/>
  <c r="C447" i="1"/>
  <c r="O446" i="1"/>
  <c r="C446" i="1"/>
  <c r="O445" i="1"/>
  <c r="C445" i="1"/>
  <c r="O444" i="1"/>
  <c r="C444" i="1"/>
  <c r="O443" i="1"/>
  <c r="C443" i="1"/>
  <c r="O442" i="1"/>
  <c r="C442" i="1"/>
  <c r="O441" i="1"/>
  <c r="C441" i="1"/>
  <c r="O440" i="1"/>
  <c r="C440" i="1"/>
  <c r="O439" i="1"/>
  <c r="C439" i="1"/>
  <c r="O438" i="1"/>
  <c r="C438" i="1"/>
  <c r="O437" i="1"/>
  <c r="C437" i="1"/>
  <c r="O436" i="1"/>
  <c r="C436" i="1"/>
  <c r="O435" i="1"/>
  <c r="C435" i="1"/>
  <c r="O434" i="1"/>
  <c r="C434" i="1"/>
  <c r="O433" i="1"/>
  <c r="C433" i="1"/>
  <c r="O432" i="1"/>
  <c r="C432" i="1"/>
  <c r="O431" i="1"/>
  <c r="C431" i="1"/>
  <c r="O430" i="1"/>
  <c r="C430" i="1"/>
  <c r="O429" i="1"/>
  <c r="C429" i="1"/>
  <c r="O428" i="1"/>
  <c r="C428" i="1"/>
  <c r="O427" i="1"/>
  <c r="C427" i="1"/>
  <c r="O426" i="1"/>
  <c r="C426" i="1"/>
  <c r="O425" i="1"/>
  <c r="C425" i="1"/>
  <c r="O424" i="1"/>
  <c r="C424" i="1"/>
  <c r="O423" i="1"/>
  <c r="C423" i="1"/>
  <c r="O422" i="1"/>
  <c r="C422" i="1"/>
  <c r="O421" i="1"/>
  <c r="C421" i="1"/>
  <c r="O420" i="1"/>
  <c r="C420" i="1"/>
  <c r="O419" i="1"/>
  <c r="C419" i="1"/>
  <c r="O418" i="1"/>
  <c r="C418" i="1"/>
  <c r="O417" i="1"/>
  <c r="C417" i="1"/>
  <c r="O416" i="1"/>
  <c r="C416" i="1"/>
  <c r="O415" i="1"/>
  <c r="C415" i="1"/>
  <c r="O414" i="1"/>
  <c r="C414" i="1"/>
  <c r="O413" i="1"/>
  <c r="C413" i="1"/>
  <c r="O412" i="1"/>
  <c r="C412" i="1"/>
  <c r="O411" i="1"/>
  <c r="C411" i="1"/>
  <c r="O410" i="1"/>
  <c r="C410" i="1"/>
  <c r="O409" i="1"/>
  <c r="C409" i="1"/>
  <c r="O408" i="1"/>
  <c r="C408" i="1"/>
  <c r="O407" i="1"/>
  <c r="C407" i="1"/>
  <c r="O406" i="1"/>
  <c r="C406" i="1"/>
  <c r="O405" i="1"/>
  <c r="C405" i="1"/>
  <c r="O404" i="1"/>
  <c r="C404" i="1"/>
  <c r="O403" i="1"/>
  <c r="C403" i="1"/>
  <c r="O402" i="1"/>
  <c r="C402" i="1"/>
  <c r="O401" i="1"/>
  <c r="C401" i="1"/>
  <c r="O400" i="1"/>
  <c r="C400" i="1"/>
  <c r="O399" i="1"/>
  <c r="C399" i="1"/>
  <c r="O398" i="1"/>
  <c r="C398" i="1"/>
  <c r="O397" i="1"/>
  <c r="C397" i="1"/>
  <c r="O396" i="1"/>
  <c r="C396" i="1"/>
  <c r="O395" i="1"/>
  <c r="C395" i="1"/>
  <c r="O394" i="1"/>
  <c r="C394" i="1"/>
  <c r="O393" i="1"/>
  <c r="C393" i="1"/>
  <c r="O392" i="1"/>
  <c r="C392" i="1"/>
  <c r="O391" i="1"/>
  <c r="C391" i="1"/>
  <c r="O390" i="1"/>
  <c r="C390" i="1"/>
  <c r="O389" i="1"/>
  <c r="C389" i="1"/>
  <c r="O388" i="1"/>
  <c r="C388" i="1"/>
  <c r="O387" i="1"/>
  <c r="C387" i="1"/>
  <c r="O386" i="1"/>
  <c r="C386" i="1"/>
  <c r="O385" i="1"/>
  <c r="C385" i="1"/>
  <c r="O384" i="1"/>
  <c r="C384" i="1"/>
  <c r="O383" i="1"/>
  <c r="C383" i="1"/>
  <c r="O382" i="1"/>
  <c r="C382" i="1"/>
  <c r="O381" i="1"/>
  <c r="C381" i="1"/>
  <c r="O380" i="1"/>
  <c r="C380" i="1"/>
  <c r="O379" i="1"/>
  <c r="C379" i="1"/>
  <c r="O378" i="1"/>
  <c r="C378" i="1"/>
  <c r="O377" i="1"/>
  <c r="C377" i="1"/>
  <c r="O376" i="1"/>
  <c r="C376" i="1"/>
  <c r="O375" i="1"/>
  <c r="C375" i="1"/>
  <c r="O374" i="1"/>
  <c r="C374" i="1"/>
  <c r="O373" i="1"/>
  <c r="C373" i="1"/>
  <c r="O372" i="1"/>
  <c r="C372" i="1"/>
  <c r="O371" i="1"/>
  <c r="C371" i="1"/>
  <c r="O370" i="1"/>
  <c r="C370" i="1"/>
  <c r="O369" i="1"/>
  <c r="C369" i="1"/>
  <c r="O368" i="1"/>
  <c r="C368" i="1"/>
  <c r="O367" i="1"/>
  <c r="C367" i="1"/>
  <c r="O366" i="1"/>
  <c r="C366" i="1"/>
  <c r="O365" i="1"/>
  <c r="C365" i="1"/>
  <c r="O364" i="1"/>
  <c r="C364" i="1"/>
  <c r="O363" i="1"/>
  <c r="C363" i="1"/>
  <c r="O362" i="1"/>
  <c r="C362" i="1"/>
  <c r="O361" i="1"/>
  <c r="C361" i="1"/>
  <c r="O360" i="1"/>
  <c r="C360" i="1"/>
  <c r="O359" i="1"/>
  <c r="C359" i="1"/>
  <c r="O358" i="1"/>
  <c r="C358" i="1"/>
  <c r="O357" i="1"/>
  <c r="C357" i="1"/>
  <c r="O356" i="1"/>
  <c r="C356" i="1"/>
  <c r="O355" i="1"/>
  <c r="C355" i="1"/>
  <c r="O354" i="1"/>
  <c r="C354" i="1"/>
  <c r="O353" i="1"/>
  <c r="C353" i="1"/>
  <c r="O352" i="1"/>
  <c r="C352" i="1"/>
  <c r="O351" i="1"/>
  <c r="C351" i="1"/>
  <c r="O350" i="1"/>
  <c r="C350" i="1"/>
  <c r="O349" i="1"/>
  <c r="C349" i="1"/>
  <c r="O348" i="1"/>
  <c r="C348" i="1"/>
  <c r="O347" i="1"/>
  <c r="C347" i="1"/>
  <c r="O346" i="1"/>
  <c r="C346" i="1"/>
  <c r="O345" i="1"/>
  <c r="C345" i="1"/>
  <c r="O344" i="1"/>
  <c r="C344" i="1"/>
  <c r="O343" i="1"/>
  <c r="C343" i="1"/>
  <c r="O342" i="1"/>
  <c r="C342" i="1"/>
  <c r="O341" i="1"/>
  <c r="C341" i="1"/>
  <c r="O340" i="1"/>
  <c r="C340" i="1"/>
  <c r="O339" i="1"/>
  <c r="C339" i="1"/>
  <c r="O338" i="1"/>
  <c r="C338" i="1"/>
  <c r="O337" i="1"/>
  <c r="C337" i="1"/>
  <c r="O336" i="1"/>
  <c r="C336" i="1"/>
  <c r="O335" i="1"/>
  <c r="C335" i="1"/>
  <c r="O334" i="1"/>
  <c r="C334" i="1"/>
  <c r="O333" i="1"/>
  <c r="C333" i="1"/>
  <c r="O332" i="1"/>
  <c r="C332" i="1"/>
  <c r="O331" i="1"/>
  <c r="C331" i="1"/>
  <c r="O330" i="1"/>
  <c r="C330" i="1"/>
  <c r="O329" i="1"/>
  <c r="C329" i="1"/>
  <c r="O328" i="1"/>
  <c r="C328" i="1"/>
  <c r="O327" i="1"/>
  <c r="C327" i="1"/>
  <c r="O326" i="1"/>
  <c r="C326" i="1"/>
  <c r="O325" i="1"/>
  <c r="C325" i="1"/>
  <c r="O324" i="1"/>
  <c r="C324" i="1"/>
  <c r="O323" i="1"/>
  <c r="C323" i="1"/>
  <c r="O322" i="1"/>
  <c r="C322" i="1"/>
  <c r="O321" i="1"/>
  <c r="C321" i="1"/>
  <c r="O320" i="1"/>
  <c r="C320" i="1"/>
  <c r="O319" i="1"/>
  <c r="C319" i="1"/>
  <c r="O318" i="1"/>
  <c r="C318" i="1"/>
  <c r="O317" i="1"/>
  <c r="C317" i="1"/>
  <c r="O316" i="1"/>
  <c r="C316" i="1"/>
  <c r="O315" i="1"/>
  <c r="C315" i="1"/>
  <c r="O314" i="1"/>
  <c r="C314" i="1"/>
  <c r="O313" i="1"/>
  <c r="C313" i="1"/>
  <c r="O312" i="1"/>
  <c r="C312" i="1"/>
  <c r="O311" i="1"/>
  <c r="C311" i="1"/>
  <c r="O310" i="1"/>
  <c r="C310" i="1"/>
  <c r="O309" i="1"/>
  <c r="C309" i="1"/>
  <c r="O308" i="1"/>
  <c r="C308" i="1"/>
  <c r="O307" i="1"/>
  <c r="C307" i="1"/>
  <c r="O306" i="1"/>
  <c r="C306" i="1"/>
  <c r="O305" i="1"/>
  <c r="C305" i="1"/>
  <c r="O304" i="1"/>
  <c r="C304" i="1"/>
  <c r="O303" i="1"/>
  <c r="C303" i="1"/>
  <c r="O302" i="1"/>
  <c r="C302" i="1"/>
  <c r="O301" i="1"/>
  <c r="C301" i="1"/>
  <c r="O300" i="1"/>
  <c r="C300" i="1"/>
  <c r="O299" i="1"/>
  <c r="C299" i="1"/>
  <c r="O298" i="1"/>
  <c r="C298" i="1"/>
  <c r="O297" i="1"/>
  <c r="C297" i="1"/>
  <c r="O296" i="1"/>
  <c r="C296" i="1"/>
  <c r="O295" i="1"/>
  <c r="C295" i="1"/>
  <c r="O294" i="1"/>
  <c r="C294" i="1"/>
  <c r="O293" i="1"/>
  <c r="C293" i="1"/>
  <c r="O292" i="1"/>
  <c r="C292" i="1"/>
  <c r="O291" i="1"/>
  <c r="C291" i="1"/>
  <c r="O290" i="1"/>
  <c r="C290" i="1"/>
  <c r="O289" i="1"/>
  <c r="C289" i="1"/>
  <c r="O288" i="1"/>
  <c r="C288" i="1"/>
  <c r="O287" i="1"/>
  <c r="C287" i="1"/>
  <c r="O286" i="1"/>
  <c r="C286" i="1"/>
  <c r="O285" i="1"/>
  <c r="C285" i="1"/>
  <c r="O284" i="1"/>
  <c r="C284" i="1"/>
  <c r="O283" i="1"/>
  <c r="C283" i="1"/>
  <c r="O282" i="1"/>
  <c r="C282" i="1"/>
  <c r="O281" i="1"/>
  <c r="C281" i="1"/>
  <c r="O280" i="1"/>
  <c r="C280" i="1"/>
  <c r="O279" i="1"/>
  <c r="C279" i="1"/>
  <c r="O278" i="1"/>
  <c r="C278" i="1"/>
  <c r="O277" i="1"/>
  <c r="C277" i="1"/>
  <c r="O276" i="1"/>
  <c r="C276" i="1"/>
  <c r="O275" i="1"/>
  <c r="C275" i="1"/>
  <c r="O274" i="1"/>
  <c r="C274" i="1"/>
  <c r="O273" i="1"/>
  <c r="C273" i="1"/>
  <c r="O272" i="1"/>
  <c r="C272" i="1"/>
  <c r="O271" i="1"/>
  <c r="C271" i="1"/>
  <c r="O270" i="1"/>
  <c r="C270" i="1"/>
  <c r="O269" i="1"/>
  <c r="C269" i="1"/>
  <c r="O268" i="1"/>
  <c r="C268" i="1"/>
  <c r="O267" i="1"/>
  <c r="C267" i="1"/>
  <c r="O266" i="1"/>
  <c r="C266" i="1"/>
  <c r="O265" i="1"/>
  <c r="C265" i="1"/>
  <c r="O264" i="1"/>
  <c r="C264" i="1"/>
  <c r="O263" i="1"/>
  <c r="C263" i="1"/>
  <c r="O262" i="1"/>
  <c r="C262" i="1"/>
  <c r="O261" i="1"/>
  <c r="C261" i="1"/>
  <c r="O260" i="1"/>
  <c r="C260" i="1"/>
  <c r="O259" i="1"/>
  <c r="C259" i="1"/>
  <c r="O258" i="1"/>
  <c r="C258" i="1"/>
  <c r="O257" i="1"/>
  <c r="C257" i="1"/>
  <c r="O256" i="1"/>
  <c r="C256" i="1"/>
  <c r="O255" i="1"/>
  <c r="C255" i="1"/>
  <c r="O254" i="1"/>
  <c r="C254" i="1"/>
  <c r="O253" i="1"/>
  <c r="C253" i="1"/>
  <c r="O252" i="1"/>
  <c r="C252" i="1"/>
  <c r="O251" i="1"/>
  <c r="C251" i="1"/>
  <c r="O250" i="1"/>
  <c r="C250" i="1"/>
  <c r="O249" i="1"/>
  <c r="C249" i="1"/>
  <c r="O248" i="1"/>
  <c r="C248" i="1"/>
  <c r="O247" i="1"/>
  <c r="C247" i="1"/>
  <c r="O246" i="1"/>
  <c r="C246" i="1"/>
  <c r="O245" i="1"/>
  <c r="C245" i="1"/>
  <c r="O244" i="1"/>
  <c r="C244" i="1"/>
  <c r="O243" i="1"/>
  <c r="C243" i="1"/>
  <c r="O242" i="1"/>
  <c r="C242" i="1"/>
  <c r="O241" i="1"/>
  <c r="C241" i="1"/>
  <c r="O240" i="1"/>
  <c r="C240" i="1"/>
  <c r="O239" i="1"/>
  <c r="C239" i="1"/>
  <c r="O238" i="1"/>
  <c r="C238" i="1"/>
  <c r="O237" i="1"/>
  <c r="C237" i="1"/>
  <c r="O236" i="1"/>
  <c r="C236" i="1"/>
  <c r="O235" i="1"/>
  <c r="C235" i="1"/>
  <c r="O234" i="1"/>
  <c r="C234" i="1"/>
  <c r="O233" i="1"/>
  <c r="C233" i="1"/>
  <c r="O232" i="1"/>
  <c r="C232" i="1"/>
  <c r="O231" i="1"/>
  <c r="C231" i="1"/>
  <c r="O230" i="1"/>
  <c r="C230" i="1"/>
  <c r="O229" i="1"/>
  <c r="C229" i="1"/>
  <c r="O228" i="1"/>
  <c r="C228" i="1"/>
  <c r="O227" i="1"/>
  <c r="C227" i="1"/>
  <c r="O226" i="1"/>
  <c r="C226" i="1"/>
  <c r="O225" i="1"/>
  <c r="C225" i="1"/>
  <c r="O224" i="1"/>
  <c r="C224" i="1"/>
  <c r="O223" i="1"/>
  <c r="C223" i="1"/>
  <c r="O222" i="1"/>
  <c r="C222" i="1"/>
  <c r="O221" i="1"/>
  <c r="C221" i="1"/>
  <c r="O220" i="1"/>
  <c r="C220" i="1"/>
  <c r="O219" i="1"/>
  <c r="C219" i="1"/>
  <c r="O218" i="1"/>
  <c r="C218" i="1"/>
  <c r="O217" i="1"/>
  <c r="C217" i="1"/>
  <c r="O216" i="1"/>
  <c r="C216" i="1"/>
  <c r="O215" i="1"/>
  <c r="C215" i="1"/>
  <c r="O214" i="1"/>
  <c r="C214" i="1"/>
  <c r="O213" i="1"/>
  <c r="C213" i="1"/>
  <c r="O212" i="1"/>
  <c r="C212" i="1"/>
  <c r="O211" i="1"/>
  <c r="C211" i="1"/>
  <c r="O210" i="1"/>
  <c r="C210" i="1"/>
  <c r="O209" i="1"/>
  <c r="C209" i="1"/>
  <c r="O208" i="1"/>
  <c r="C208" i="1"/>
  <c r="O207" i="1"/>
  <c r="C207" i="1"/>
  <c r="O206" i="1"/>
  <c r="C206" i="1"/>
  <c r="O205" i="1"/>
  <c r="C205" i="1"/>
  <c r="O204" i="1"/>
  <c r="C204" i="1"/>
  <c r="O203" i="1"/>
  <c r="C203" i="1"/>
  <c r="O202" i="1"/>
  <c r="C202" i="1"/>
  <c r="O201" i="1"/>
  <c r="C201" i="1"/>
  <c r="O200" i="1"/>
  <c r="C200" i="1"/>
  <c r="O199" i="1"/>
  <c r="C199" i="1"/>
  <c r="O198" i="1"/>
  <c r="C198" i="1"/>
  <c r="O197" i="1"/>
  <c r="C197" i="1"/>
  <c r="O196" i="1"/>
  <c r="C196" i="1"/>
  <c r="O195" i="1"/>
  <c r="C195" i="1"/>
  <c r="O194" i="1"/>
  <c r="C194" i="1"/>
  <c r="O193" i="1"/>
  <c r="C193" i="1"/>
  <c r="O192" i="1"/>
  <c r="C192" i="1"/>
  <c r="O191" i="1"/>
  <c r="C191" i="1"/>
  <c r="O190" i="1"/>
  <c r="C190" i="1"/>
  <c r="O189" i="1"/>
  <c r="C189" i="1"/>
  <c r="O188" i="1"/>
  <c r="C188" i="1"/>
  <c r="O187" i="1"/>
  <c r="C187" i="1"/>
  <c r="O186" i="1"/>
  <c r="C186" i="1"/>
  <c r="O185" i="1"/>
  <c r="C185" i="1"/>
  <c r="O184" i="1"/>
  <c r="C184" i="1"/>
  <c r="O183" i="1"/>
  <c r="C183" i="1"/>
  <c r="O182" i="1"/>
  <c r="C182" i="1"/>
  <c r="O181" i="1"/>
  <c r="C181" i="1"/>
  <c r="O180" i="1"/>
  <c r="C180" i="1"/>
  <c r="O179" i="1"/>
  <c r="C179" i="1"/>
  <c r="O178" i="1"/>
  <c r="C178" i="1"/>
  <c r="O177" i="1"/>
  <c r="C177" i="1"/>
  <c r="O176" i="1"/>
  <c r="C176" i="1"/>
  <c r="O175" i="1"/>
  <c r="C175" i="1"/>
  <c r="O174" i="1"/>
  <c r="C174" i="1"/>
  <c r="O173" i="1"/>
  <c r="C173" i="1"/>
  <c r="O172" i="1"/>
  <c r="C172" i="1"/>
  <c r="O171" i="1"/>
  <c r="C171" i="1"/>
  <c r="O170" i="1"/>
  <c r="C170" i="1"/>
  <c r="O169" i="1"/>
  <c r="C169" i="1"/>
  <c r="O168" i="1"/>
  <c r="C168" i="1"/>
  <c r="O167" i="1"/>
  <c r="C167" i="1"/>
  <c r="O166" i="1"/>
  <c r="C166" i="1"/>
  <c r="O165" i="1"/>
  <c r="C165" i="1"/>
  <c r="O164" i="1"/>
  <c r="C164" i="1"/>
  <c r="O163" i="1"/>
  <c r="C163" i="1"/>
  <c r="O162" i="1"/>
  <c r="C162" i="1"/>
  <c r="O161" i="1"/>
  <c r="C161" i="1"/>
  <c r="O160" i="1"/>
  <c r="C160" i="1"/>
  <c r="O159" i="1"/>
  <c r="C159" i="1"/>
  <c r="O158" i="1"/>
  <c r="C158" i="1"/>
  <c r="O157" i="1"/>
  <c r="C157" i="1"/>
  <c r="O156" i="1"/>
  <c r="C156" i="1"/>
  <c r="O155" i="1"/>
  <c r="C155" i="1"/>
  <c r="O154" i="1"/>
  <c r="C154" i="1"/>
  <c r="O153" i="1"/>
  <c r="C153" i="1"/>
  <c r="O152" i="1"/>
  <c r="C152" i="1"/>
  <c r="O151" i="1"/>
  <c r="C151" i="1"/>
  <c r="O150" i="1"/>
  <c r="C150" i="1"/>
  <c r="O149" i="1"/>
  <c r="C149" i="1"/>
  <c r="O148" i="1"/>
  <c r="C148" i="1"/>
  <c r="O147" i="1"/>
  <c r="C147" i="1"/>
  <c r="O146" i="1"/>
  <c r="C146" i="1"/>
  <c r="O145" i="1"/>
  <c r="C145" i="1"/>
  <c r="O144" i="1"/>
  <c r="C144" i="1"/>
  <c r="O143" i="1"/>
  <c r="C143" i="1"/>
  <c r="O142" i="1"/>
  <c r="C142" i="1"/>
  <c r="O141" i="1"/>
  <c r="C141" i="1"/>
  <c r="O140" i="1"/>
  <c r="C140" i="1"/>
  <c r="O139" i="1"/>
  <c r="C139" i="1"/>
  <c r="O138" i="1"/>
  <c r="C138" i="1"/>
  <c r="O137" i="1"/>
  <c r="C137" i="1"/>
  <c r="O136" i="1"/>
  <c r="C136" i="1"/>
  <c r="O135" i="1"/>
  <c r="C135" i="1"/>
  <c r="O134" i="1"/>
  <c r="C134" i="1"/>
  <c r="O133" i="1"/>
  <c r="C133" i="1"/>
  <c r="O132" i="1"/>
  <c r="C132" i="1"/>
  <c r="O131" i="1"/>
  <c r="C131" i="1"/>
  <c r="O130" i="1"/>
  <c r="C130" i="1"/>
  <c r="O129" i="1"/>
  <c r="C129" i="1"/>
  <c r="O128" i="1"/>
  <c r="C128" i="1"/>
  <c r="O127" i="1"/>
  <c r="C127" i="1"/>
  <c r="O126" i="1"/>
  <c r="C126" i="1"/>
  <c r="O125" i="1"/>
  <c r="C125" i="1"/>
  <c r="O124" i="1"/>
  <c r="C124" i="1"/>
  <c r="O123" i="1"/>
  <c r="C123" i="1"/>
  <c r="O122" i="1"/>
  <c r="C122" i="1"/>
  <c r="O121" i="1"/>
  <c r="C121" i="1"/>
  <c r="O120" i="1"/>
  <c r="C120" i="1"/>
  <c r="O119" i="1"/>
  <c r="C119" i="1"/>
  <c r="O118" i="1"/>
  <c r="C118" i="1"/>
  <c r="O117" i="1"/>
  <c r="C117" i="1"/>
  <c r="O116" i="1"/>
  <c r="C116" i="1"/>
  <c r="O115" i="1"/>
  <c r="C115" i="1"/>
  <c r="O114" i="1"/>
  <c r="C114" i="1"/>
  <c r="O113" i="1"/>
  <c r="C113" i="1"/>
  <c r="O112" i="1"/>
  <c r="C112" i="1"/>
  <c r="O111" i="1"/>
  <c r="C111" i="1"/>
  <c r="O110" i="1"/>
  <c r="C110" i="1"/>
  <c r="O109" i="1"/>
  <c r="C109" i="1"/>
  <c r="O108" i="1"/>
  <c r="C108" i="1"/>
  <c r="O107" i="1"/>
  <c r="C107" i="1"/>
  <c r="O106" i="1"/>
  <c r="C106" i="1"/>
  <c r="O105" i="1"/>
  <c r="C105" i="1"/>
  <c r="O104" i="1"/>
  <c r="C104" i="1"/>
  <c r="O103" i="1"/>
  <c r="C103" i="1"/>
  <c r="O102" i="1"/>
  <c r="C102" i="1"/>
  <c r="O101" i="1"/>
  <c r="C101" i="1"/>
  <c r="O100" i="1"/>
  <c r="C100" i="1"/>
  <c r="O99" i="1"/>
  <c r="C99" i="1"/>
  <c r="O98" i="1"/>
  <c r="C98" i="1"/>
  <c r="O97" i="1"/>
  <c r="C97" i="1"/>
  <c r="O96" i="1"/>
  <c r="C96" i="1"/>
  <c r="O95" i="1"/>
  <c r="C95" i="1"/>
  <c r="O94" i="1"/>
  <c r="C94" i="1"/>
  <c r="O93" i="1"/>
  <c r="C93" i="1"/>
  <c r="O92" i="1"/>
  <c r="C92" i="1"/>
  <c r="O91" i="1"/>
  <c r="C91" i="1"/>
  <c r="O90" i="1"/>
  <c r="C90" i="1"/>
  <c r="O89" i="1"/>
  <c r="C89" i="1"/>
  <c r="O88" i="1"/>
  <c r="C88" i="1"/>
  <c r="O87" i="1"/>
  <c r="C87" i="1"/>
  <c r="O86" i="1"/>
  <c r="C86" i="1"/>
  <c r="O85" i="1"/>
  <c r="C85" i="1"/>
  <c r="O84" i="1"/>
  <c r="C84" i="1"/>
  <c r="O83" i="1"/>
  <c r="C83" i="1"/>
  <c r="O82" i="1"/>
  <c r="C82" i="1"/>
  <c r="O81" i="1"/>
  <c r="C81" i="1"/>
  <c r="O80" i="1"/>
  <c r="C80" i="1"/>
  <c r="O79" i="1"/>
  <c r="C79" i="1"/>
  <c r="O78" i="1"/>
  <c r="C78" i="1"/>
  <c r="O77" i="1"/>
  <c r="C77" i="1"/>
  <c r="O76" i="1"/>
  <c r="C76" i="1"/>
  <c r="O75" i="1"/>
  <c r="C75" i="1"/>
  <c r="O74" i="1"/>
  <c r="C74" i="1"/>
  <c r="O73" i="1"/>
  <c r="C73" i="1"/>
  <c r="O72" i="1"/>
  <c r="C72" i="1"/>
  <c r="O71" i="1"/>
  <c r="C71" i="1"/>
  <c r="O70" i="1"/>
  <c r="C70" i="1"/>
  <c r="O69" i="1"/>
  <c r="C69" i="1"/>
  <c r="O68" i="1"/>
  <c r="C68" i="1"/>
  <c r="O67" i="1"/>
  <c r="C67" i="1"/>
  <c r="O66" i="1"/>
  <c r="C66" i="1"/>
  <c r="O65" i="1"/>
  <c r="C65" i="1"/>
  <c r="O64" i="1"/>
  <c r="C64" i="1"/>
  <c r="O63" i="1"/>
  <c r="C63" i="1"/>
  <c r="O62" i="1"/>
  <c r="C62" i="1"/>
  <c r="O61" i="1"/>
  <c r="C61" i="1"/>
  <c r="O60" i="1"/>
  <c r="C60" i="1"/>
  <c r="O59" i="1"/>
  <c r="C59" i="1"/>
  <c r="O58" i="1"/>
  <c r="C58" i="1"/>
  <c r="O57" i="1"/>
  <c r="C57" i="1"/>
  <c r="O56" i="1"/>
  <c r="C56" i="1"/>
  <c r="O55" i="1"/>
  <c r="C55" i="1"/>
  <c r="O54" i="1"/>
  <c r="C54" i="1"/>
  <c r="O53" i="1"/>
  <c r="C53" i="1"/>
  <c r="O52" i="1"/>
  <c r="C52" i="1"/>
  <c r="O51" i="1"/>
  <c r="C51" i="1"/>
  <c r="O50" i="1"/>
  <c r="C50" i="1"/>
  <c r="O49" i="1"/>
  <c r="C49" i="1"/>
  <c r="O48" i="1"/>
  <c r="C48" i="1"/>
  <c r="O47" i="1"/>
  <c r="C47" i="1"/>
  <c r="O46" i="1"/>
  <c r="C46" i="1"/>
  <c r="O45" i="1"/>
  <c r="C45" i="1"/>
  <c r="O44" i="1"/>
  <c r="C44" i="1"/>
  <c r="O43" i="1"/>
  <c r="C43" i="1"/>
  <c r="O42" i="1"/>
  <c r="C42" i="1"/>
  <c r="O41" i="1"/>
  <c r="C41" i="1"/>
  <c r="O40" i="1"/>
  <c r="C40" i="1"/>
  <c r="O39" i="1"/>
  <c r="C39" i="1"/>
  <c r="O38" i="1"/>
  <c r="C38" i="1"/>
  <c r="O37" i="1"/>
  <c r="C37" i="1"/>
  <c r="O36" i="1"/>
  <c r="C36" i="1"/>
  <c r="O35" i="1"/>
  <c r="C35" i="1"/>
  <c r="O34" i="1"/>
  <c r="C34" i="1"/>
  <c r="O33" i="1"/>
  <c r="C33" i="1"/>
  <c r="O32" i="1"/>
  <c r="C32" i="1"/>
  <c r="O31" i="1"/>
  <c r="C31" i="1"/>
  <c r="O30" i="1"/>
  <c r="C30" i="1"/>
  <c r="O29" i="1"/>
  <c r="C29" i="1"/>
  <c r="O28" i="1"/>
  <c r="C28" i="1"/>
  <c r="O27" i="1"/>
  <c r="C27" i="1"/>
  <c r="O26" i="1"/>
  <c r="C26" i="1"/>
  <c r="O25" i="1"/>
  <c r="C25" i="1"/>
  <c r="O24" i="1"/>
  <c r="C24" i="1"/>
  <c r="O23" i="1"/>
  <c r="C23" i="1"/>
  <c r="O22" i="1"/>
  <c r="C22" i="1"/>
  <c r="O21" i="1"/>
  <c r="C21" i="1"/>
  <c r="O20" i="1"/>
  <c r="C20" i="1"/>
  <c r="O19" i="1"/>
  <c r="C19" i="1"/>
  <c r="O18" i="1"/>
  <c r="C18" i="1"/>
  <c r="O17" i="1"/>
  <c r="C17" i="1"/>
  <c r="O16" i="1"/>
  <c r="C16" i="1"/>
  <c r="O15" i="1"/>
  <c r="C15" i="1"/>
  <c r="O14" i="1"/>
  <c r="C14" i="1"/>
  <c r="O13" i="1"/>
  <c r="C13" i="1"/>
  <c r="O12" i="1"/>
  <c r="C12" i="1"/>
  <c r="O11" i="1"/>
  <c r="C11" i="1"/>
  <c r="O10" i="1"/>
  <c r="C10" i="1"/>
  <c r="O9" i="1"/>
  <c r="C9" i="1"/>
  <c r="O8" i="1"/>
  <c r="C8" i="1"/>
  <c r="O7" i="1"/>
  <c r="C7" i="1"/>
  <c r="O6" i="1"/>
  <c r="C6" i="1"/>
  <c r="O5" i="1"/>
  <c r="C5" i="1"/>
  <c r="O4" i="1"/>
  <c r="C4" i="1"/>
  <c r="O3" i="1"/>
  <c r="C3" i="1"/>
  <c r="O2" i="1"/>
  <c r="C2" i="1"/>
  <c r="AQ9" i="4" l="1"/>
  <c r="AQ11" i="4"/>
  <c r="AP11" i="4"/>
  <c r="BA11" i="4"/>
  <c r="O2" i="4" s="1"/>
  <c r="BP11" i="4"/>
  <c r="BF11" i="4"/>
  <c r="BK11" i="4"/>
  <c r="AV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<sst xmlns="http://schemas.openxmlformats.org/spreadsheetml/2006/main" count="6159" uniqueCount="1091">
  <si>
    <t>Record ID</t>
  </si>
  <si>
    <t>Date</t>
  </si>
  <si>
    <t>Month</t>
  </si>
  <si>
    <t>Employee ID</t>
  </si>
  <si>
    <t>Employee Name</t>
  </si>
  <si>
    <t>Department</t>
  </si>
  <si>
    <t>Team</t>
  </si>
  <si>
    <t>Location</t>
  </si>
  <si>
    <t>Target Tasks</t>
  </si>
  <si>
    <t>Completed Tasks</t>
  </si>
  <si>
    <t>Quality Score</t>
  </si>
  <si>
    <t>Attendance Rate</t>
  </si>
  <si>
    <t>Customer Satisfaction</t>
  </si>
  <si>
    <t>Revenue (AED)</t>
  </si>
  <si>
    <t>Performance Score</t>
  </si>
  <si>
    <t>REC-0001</t>
  </si>
  <si>
    <t>EMP001</t>
  </si>
  <si>
    <t>Ahmed Hassan</t>
  </si>
  <si>
    <t>Sales</t>
  </si>
  <si>
    <t>Enterprise Sales</t>
  </si>
  <si>
    <t>Dubai</t>
  </si>
  <si>
    <t>REC-0002</t>
  </si>
  <si>
    <t>EMP002</t>
  </si>
  <si>
    <t>Sara Ali</t>
  </si>
  <si>
    <t>Abu Dhabi</t>
  </si>
  <si>
    <t>REC-0003</t>
  </si>
  <si>
    <t>EMP003</t>
  </si>
  <si>
    <t>Omar Khaled</t>
  </si>
  <si>
    <t>Operations</t>
  </si>
  <si>
    <t>Service Delivery</t>
  </si>
  <si>
    <t>REC-0004</t>
  </si>
  <si>
    <t>REC-0005</t>
  </si>
  <si>
    <t>REC-0006</t>
  </si>
  <si>
    <t>REC-0007</t>
  </si>
  <si>
    <t>EMP005</t>
  </si>
  <si>
    <t>Youssef Ibrahim</t>
  </si>
  <si>
    <t>Customer Experience</t>
  </si>
  <si>
    <t>Customer Success</t>
  </si>
  <si>
    <t>REC-0008</t>
  </si>
  <si>
    <t>EMP006</t>
  </si>
  <si>
    <t>Nour Mohamed</t>
  </si>
  <si>
    <t>REC-0009</t>
  </si>
  <si>
    <t>REC-0010</t>
  </si>
  <si>
    <t>EMP004</t>
  </si>
  <si>
    <t>Mariam Adel</t>
  </si>
  <si>
    <t>Sharjah</t>
  </si>
  <si>
    <t>REC-0011</t>
  </si>
  <si>
    <t>REC-0012</t>
  </si>
  <si>
    <t>REC-0013</t>
  </si>
  <si>
    <t>REC-0014</t>
  </si>
  <si>
    <t>REC-0015</t>
  </si>
  <si>
    <t>REC-0016</t>
  </si>
  <si>
    <t>REC-0017</t>
  </si>
  <si>
    <t>REC-0018</t>
  </si>
  <si>
    <t>REC-0019</t>
  </si>
  <si>
    <t>REC-0020</t>
  </si>
  <si>
    <t>REC-0021</t>
  </si>
  <si>
    <t>REC-0022</t>
  </si>
  <si>
    <t>REC-0023</t>
  </si>
  <si>
    <t>REC-0024</t>
  </si>
  <si>
    <t>REC-0025</t>
  </si>
  <si>
    <t>REC-0026</t>
  </si>
  <si>
    <t>REC-0027</t>
  </si>
  <si>
    <t>REC-0028</t>
  </si>
  <si>
    <t>REC-0029</t>
  </si>
  <si>
    <t>REC-0030</t>
  </si>
  <si>
    <t>REC-0031</t>
  </si>
  <si>
    <t>REC-0032</t>
  </si>
  <si>
    <t>REC-0033</t>
  </si>
  <si>
    <t>REC-0034</t>
  </si>
  <si>
    <t>REC-0035</t>
  </si>
  <si>
    <t>REC-0036</t>
  </si>
  <si>
    <t>REC-0037</t>
  </si>
  <si>
    <t>REC-0038</t>
  </si>
  <si>
    <t>REC-0039</t>
  </si>
  <si>
    <t>REC-0040</t>
  </si>
  <si>
    <t>REC-0041</t>
  </si>
  <si>
    <t>REC-0042</t>
  </si>
  <si>
    <t>REC-0043</t>
  </si>
  <si>
    <t>REC-0044</t>
  </si>
  <si>
    <t>REC-0045</t>
  </si>
  <si>
    <t>REC-0046</t>
  </si>
  <si>
    <t>REC-0047</t>
  </si>
  <si>
    <t>REC-0048</t>
  </si>
  <si>
    <t>REC-0049</t>
  </si>
  <si>
    <t>REC-0050</t>
  </si>
  <si>
    <t>REC-0051</t>
  </si>
  <si>
    <t>REC-0052</t>
  </si>
  <si>
    <t>REC-0053</t>
  </si>
  <si>
    <t>REC-0054</t>
  </si>
  <si>
    <t>REC-0055</t>
  </si>
  <si>
    <t>REC-0056</t>
  </si>
  <si>
    <t>REC-0057</t>
  </si>
  <si>
    <t>REC-0058</t>
  </si>
  <si>
    <t>REC-0059</t>
  </si>
  <si>
    <t>REC-0060</t>
  </si>
  <si>
    <t>REC-0061</t>
  </si>
  <si>
    <t>REC-0062</t>
  </si>
  <si>
    <t>REC-0063</t>
  </si>
  <si>
    <t>REC-0064</t>
  </si>
  <si>
    <t>REC-0065</t>
  </si>
  <si>
    <t>REC-0066</t>
  </si>
  <si>
    <t>REC-0067</t>
  </si>
  <si>
    <t>REC-0068</t>
  </si>
  <si>
    <t>REC-0069</t>
  </si>
  <si>
    <t>REC-0070</t>
  </si>
  <si>
    <t>REC-0071</t>
  </si>
  <si>
    <t>REC-0072</t>
  </si>
  <si>
    <t>REC-0073</t>
  </si>
  <si>
    <t>REC-0074</t>
  </si>
  <si>
    <t>REC-0075</t>
  </si>
  <si>
    <t>REC-0076</t>
  </si>
  <si>
    <t>REC-0077</t>
  </si>
  <si>
    <t>REC-0078</t>
  </si>
  <si>
    <t>REC-0079</t>
  </si>
  <si>
    <t>REC-0080</t>
  </si>
  <si>
    <t>REC-0081</t>
  </si>
  <si>
    <t>REC-0082</t>
  </si>
  <si>
    <t>REC-0083</t>
  </si>
  <si>
    <t>REC-0084</t>
  </si>
  <si>
    <t>REC-0085</t>
  </si>
  <si>
    <t>REC-0086</t>
  </si>
  <si>
    <t>REC-0087</t>
  </si>
  <si>
    <t>REC-0088</t>
  </si>
  <si>
    <t>REC-0089</t>
  </si>
  <si>
    <t>REC-0090</t>
  </si>
  <si>
    <t>REC-0091</t>
  </si>
  <si>
    <t>REC-0092</t>
  </si>
  <si>
    <t>REC-0093</t>
  </si>
  <si>
    <t>REC-0094</t>
  </si>
  <si>
    <t>REC-0095</t>
  </si>
  <si>
    <t>REC-0096</t>
  </si>
  <si>
    <t>REC-0097</t>
  </si>
  <si>
    <t>REC-0098</t>
  </si>
  <si>
    <t>REC-0099</t>
  </si>
  <si>
    <t>REC-0100</t>
  </si>
  <si>
    <t>REC-0101</t>
  </si>
  <si>
    <t>REC-0102</t>
  </si>
  <si>
    <t>REC-0103</t>
  </si>
  <si>
    <t>REC-0104</t>
  </si>
  <si>
    <t>REC-0105</t>
  </si>
  <si>
    <t>REC-0106</t>
  </si>
  <si>
    <t>REC-0107</t>
  </si>
  <si>
    <t>REC-0108</t>
  </si>
  <si>
    <t>REC-0109</t>
  </si>
  <si>
    <t>REC-0110</t>
  </si>
  <si>
    <t>REC-0111</t>
  </si>
  <si>
    <t>REC-0112</t>
  </si>
  <si>
    <t>REC-0113</t>
  </si>
  <si>
    <t>REC-0114</t>
  </si>
  <si>
    <t>REC-0115</t>
  </si>
  <si>
    <t>REC-0116</t>
  </si>
  <si>
    <t>REC-0117</t>
  </si>
  <si>
    <t>REC-0118</t>
  </si>
  <si>
    <t>REC-0119</t>
  </si>
  <si>
    <t>REC-0120</t>
  </si>
  <si>
    <t>REC-0121</t>
  </si>
  <si>
    <t>REC-0122</t>
  </si>
  <si>
    <t>REC-0123</t>
  </si>
  <si>
    <t>REC-0124</t>
  </si>
  <si>
    <t>REC-0125</t>
  </si>
  <si>
    <t>REC-0126</t>
  </si>
  <si>
    <t>REC-0127</t>
  </si>
  <si>
    <t>REC-0128</t>
  </si>
  <si>
    <t>REC-0129</t>
  </si>
  <si>
    <t>REC-0130</t>
  </si>
  <si>
    <t>REC-0131</t>
  </si>
  <si>
    <t>REC-0132</t>
  </si>
  <si>
    <t>REC-0133</t>
  </si>
  <si>
    <t>REC-0134</t>
  </si>
  <si>
    <t>REC-0135</t>
  </si>
  <si>
    <t>REC-0136</t>
  </si>
  <si>
    <t>REC-0137</t>
  </si>
  <si>
    <t>REC-0138</t>
  </si>
  <si>
    <t>REC-0139</t>
  </si>
  <si>
    <t>REC-0140</t>
  </si>
  <si>
    <t>REC-0141</t>
  </si>
  <si>
    <t>REC-0142</t>
  </si>
  <si>
    <t>REC-0143</t>
  </si>
  <si>
    <t>REC-0144</t>
  </si>
  <si>
    <t>REC-0145</t>
  </si>
  <si>
    <t>REC-0146</t>
  </si>
  <si>
    <t>REC-0147</t>
  </si>
  <si>
    <t>REC-0148</t>
  </si>
  <si>
    <t>REC-0149</t>
  </si>
  <si>
    <t>REC-0150</t>
  </si>
  <si>
    <t>REC-0151</t>
  </si>
  <si>
    <t>REC-0152</t>
  </si>
  <si>
    <t>REC-0153</t>
  </si>
  <si>
    <t>REC-0154</t>
  </si>
  <si>
    <t>REC-0155</t>
  </si>
  <si>
    <t>REC-0156</t>
  </si>
  <si>
    <t>REC-0157</t>
  </si>
  <si>
    <t>REC-0158</t>
  </si>
  <si>
    <t>REC-0159</t>
  </si>
  <si>
    <t>REC-0160</t>
  </si>
  <si>
    <t>REC-0161</t>
  </si>
  <si>
    <t>REC-0162</t>
  </si>
  <si>
    <t>REC-0163</t>
  </si>
  <si>
    <t>REC-0164</t>
  </si>
  <si>
    <t>REC-0165</t>
  </si>
  <si>
    <t>REC-0166</t>
  </si>
  <si>
    <t>REC-0167</t>
  </si>
  <si>
    <t>REC-0168</t>
  </si>
  <si>
    <t>REC-0169</t>
  </si>
  <si>
    <t>REC-0170</t>
  </si>
  <si>
    <t>REC-0171</t>
  </si>
  <si>
    <t>REC-0172</t>
  </si>
  <si>
    <t>REC-0173</t>
  </si>
  <si>
    <t>REC-0174</t>
  </si>
  <si>
    <t>REC-0175</t>
  </si>
  <si>
    <t>REC-0176</t>
  </si>
  <si>
    <t>REC-0177</t>
  </si>
  <si>
    <t>REC-0178</t>
  </si>
  <si>
    <t>REC-0179</t>
  </si>
  <si>
    <t>REC-0180</t>
  </si>
  <si>
    <t>REC-0181</t>
  </si>
  <si>
    <t>REC-0182</t>
  </si>
  <si>
    <t>REC-0183</t>
  </si>
  <si>
    <t>REC-0184</t>
  </si>
  <si>
    <t>REC-0185</t>
  </si>
  <si>
    <t>REC-0186</t>
  </si>
  <si>
    <t>REC-0187</t>
  </si>
  <si>
    <t>REC-0188</t>
  </si>
  <si>
    <t>REC-0189</t>
  </si>
  <si>
    <t>REC-0190</t>
  </si>
  <si>
    <t>REC-0191</t>
  </si>
  <si>
    <t>REC-0192</t>
  </si>
  <si>
    <t>REC-0193</t>
  </si>
  <si>
    <t>REC-0194</t>
  </si>
  <si>
    <t>REC-0195</t>
  </si>
  <si>
    <t>REC-0196</t>
  </si>
  <si>
    <t>REC-0197</t>
  </si>
  <si>
    <t>REC-0198</t>
  </si>
  <si>
    <t>REC-0199</t>
  </si>
  <si>
    <t>REC-0200</t>
  </si>
  <si>
    <t>REC-0201</t>
  </si>
  <si>
    <t>REC-0202</t>
  </si>
  <si>
    <t>REC-0203</t>
  </si>
  <si>
    <t>REC-0204</t>
  </si>
  <si>
    <t>REC-0205</t>
  </si>
  <si>
    <t>REC-0206</t>
  </si>
  <si>
    <t>REC-0207</t>
  </si>
  <si>
    <t>REC-0208</t>
  </si>
  <si>
    <t>REC-0209</t>
  </si>
  <si>
    <t>REC-0210</t>
  </si>
  <si>
    <t>REC-0211</t>
  </si>
  <si>
    <t>REC-0212</t>
  </si>
  <si>
    <t>REC-0213</t>
  </si>
  <si>
    <t>REC-0214</t>
  </si>
  <si>
    <t>REC-0215</t>
  </si>
  <si>
    <t>REC-0216</t>
  </si>
  <si>
    <t>REC-0217</t>
  </si>
  <si>
    <t>REC-0218</t>
  </si>
  <si>
    <t>REC-0219</t>
  </si>
  <si>
    <t>REC-0220</t>
  </si>
  <si>
    <t>REC-0221</t>
  </si>
  <si>
    <t>REC-0222</t>
  </si>
  <si>
    <t>REC-0223</t>
  </si>
  <si>
    <t>REC-0224</t>
  </si>
  <si>
    <t>REC-0225</t>
  </si>
  <si>
    <t>REC-0226</t>
  </si>
  <si>
    <t>REC-0227</t>
  </si>
  <si>
    <t>REC-0228</t>
  </si>
  <si>
    <t>REC-0229</t>
  </si>
  <si>
    <t>REC-0230</t>
  </si>
  <si>
    <t>REC-0231</t>
  </si>
  <si>
    <t>REC-0232</t>
  </si>
  <si>
    <t>REC-0233</t>
  </si>
  <si>
    <t>REC-0234</t>
  </si>
  <si>
    <t>REC-0235</t>
  </si>
  <si>
    <t>REC-0236</t>
  </si>
  <si>
    <t>REC-0237</t>
  </si>
  <si>
    <t>REC-0238</t>
  </si>
  <si>
    <t>REC-0239</t>
  </si>
  <si>
    <t>REC-0240</t>
  </si>
  <si>
    <t>REC-0241</t>
  </si>
  <si>
    <t>REC-0242</t>
  </si>
  <si>
    <t>REC-0243</t>
  </si>
  <si>
    <t>REC-0244</t>
  </si>
  <si>
    <t>REC-0245</t>
  </si>
  <si>
    <t>REC-0246</t>
  </si>
  <si>
    <t>REC-0247</t>
  </si>
  <si>
    <t>REC-0248</t>
  </si>
  <si>
    <t>REC-0249</t>
  </si>
  <si>
    <t>REC-0250</t>
  </si>
  <si>
    <t>REC-0251</t>
  </si>
  <si>
    <t>REC-0252</t>
  </si>
  <si>
    <t>REC-0253</t>
  </si>
  <si>
    <t>REC-0254</t>
  </si>
  <si>
    <t>REC-0255</t>
  </si>
  <si>
    <t>REC-0256</t>
  </si>
  <si>
    <t>REC-0257</t>
  </si>
  <si>
    <t>REC-0258</t>
  </si>
  <si>
    <t>REC-0259</t>
  </si>
  <si>
    <t>REC-0260</t>
  </si>
  <si>
    <t>REC-0261</t>
  </si>
  <si>
    <t>REC-0262</t>
  </si>
  <si>
    <t>REC-0263</t>
  </si>
  <si>
    <t>REC-0264</t>
  </si>
  <si>
    <t>REC-0265</t>
  </si>
  <si>
    <t>REC-0266</t>
  </si>
  <si>
    <t>REC-0267</t>
  </si>
  <si>
    <t>REC-0268</t>
  </si>
  <si>
    <t>REC-0269</t>
  </si>
  <si>
    <t>REC-0270</t>
  </si>
  <si>
    <t>REC-0271</t>
  </si>
  <si>
    <t>REC-0272</t>
  </si>
  <si>
    <t>REC-0273</t>
  </si>
  <si>
    <t>REC-0274</t>
  </si>
  <si>
    <t>REC-0275</t>
  </si>
  <si>
    <t>REC-0276</t>
  </si>
  <si>
    <t>REC-0277</t>
  </si>
  <si>
    <t>REC-0278</t>
  </si>
  <si>
    <t>REC-0279</t>
  </si>
  <si>
    <t>REC-0280</t>
  </si>
  <si>
    <t>REC-0281</t>
  </si>
  <si>
    <t>REC-0282</t>
  </si>
  <si>
    <t>REC-0283</t>
  </si>
  <si>
    <t>REC-0284</t>
  </si>
  <si>
    <t>REC-0285</t>
  </si>
  <si>
    <t>REC-0286</t>
  </si>
  <si>
    <t>REC-0287</t>
  </si>
  <si>
    <t>REC-0288</t>
  </si>
  <si>
    <t>REC-0289</t>
  </si>
  <si>
    <t>REC-0290</t>
  </si>
  <si>
    <t>REC-0291</t>
  </si>
  <si>
    <t>REC-0292</t>
  </si>
  <si>
    <t>REC-0293</t>
  </si>
  <si>
    <t>REC-0294</t>
  </si>
  <si>
    <t>REC-0295</t>
  </si>
  <si>
    <t>REC-0296</t>
  </si>
  <si>
    <t>REC-0297</t>
  </si>
  <si>
    <t>REC-0298</t>
  </si>
  <si>
    <t>REC-0299</t>
  </si>
  <si>
    <t>REC-0300</t>
  </si>
  <si>
    <t>REC-0301</t>
  </si>
  <si>
    <t>REC-0302</t>
  </si>
  <si>
    <t>REC-0303</t>
  </si>
  <si>
    <t>REC-0304</t>
  </si>
  <si>
    <t>REC-0305</t>
  </si>
  <si>
    <t>REC-0306</t>
  </si>
  <si>
    <t>REC-0307</t>
  </si>
  <si>
    <t>REC-0308</t>
  </si>
  <si>
    <t>REC-0309</t>
  </si>
  <si>
    <t>REC-0310</t>
  </si>
  <si>
    <t>REC-0311</t>
  </si>
  <si>
    <t>REC-0312</t>
  </si>
  <si>
    <t>REC-0313</t>
  </si>
  <si>
    <t>REC-0314</t>
  </si>
  <si>
    <t>REC-0315</t>
  </si>
  <si>
    <t>REC-0316</t>
  </si>
  <si>
    <t>REC-0317</t>
  </si>
  <si>
    <t>REC-0318</t>
  </si>
  <si>
    <t>REC-0319</t>
  </si>
  <si>
    <t>REC-0320</t>
  </si>
  <si>
    <t>REC-0321</t>
  </si>
  <si>
    <t>REC-0322</t>
  </si>
  <si>
    <t>REC-0323</t>
  </si>
  <si>
    <t>REC-0324</t>
  </si>
  <si>
    <t>REC-0325</t>
  </si>
  <si>
    <t>REC-0326</t>
  </si>
  <si>
    <t>REC-0327</t>
  </si>
  <si>
    <t>REC-0328</t>
  </si>
  <si>
    <t>REC-0329</t>
  </si>
  <si>
    <t>REC-0330</t>
  </si>
  <si>
    <t>REC-0331</t>
  </si>
  <si>
    <t>REC-0332</t>
  </si>
  <si>
    <t>REC-0333</t>
  </si>
  <si>
    <t>REC-0334</t>
  </si>
  <si>
    <t>REC-0335</t>
  </si>
  <si>
    <t>REC-0336</t>
  </si>
  <si>
    <t>REC-0337</t>
  </si>
  <si>
    <t>REC-0338</t>
  </si>
  <si>
    <t>REC-0339</t>
  </si>
  <si>
    <t>REC-0340</t>
  </si>
  <si>
    <t>REC-0341</t>
  </si>
  <si>
    <t>REC-0342</t>
  </si>
  <si>
    <t>REC-0343</t>
  </si>
  <si>
    <t>REC-0344</t>
  </si>
  <si>
    <t>REC-0345</t>
  </si>
  <si>
    <t>REC-0346</t>
  </si>
  <si>
    <t>REC-0347</t>
  </si>
  <si>
    <t>REC-0348</t>
  </si>
  <si>
    <t>REC-0349</t>
  </si>
  <si>
    <t>REC-0350</t>
  </si>
  <si>
    <t>REC-0351</t>
  </si>
  <si>
    <t>REC-0352</t>
  </si>
  <si>
    <t>REC-0353</t>
  </si>
  <si>
    <t>REC-0354</t>
  </si>
  <si>
    <t>REC-0355</t>
  </si>
  <si>
    <t>REC-0356</t>
  </si>
  <si>
    <t>REC-0357</t>
  </si>
  <si>
    <t>REC-0358</t>
  </si>
  <si>
    <t>REC-0359</t>
  </si>
  <si>
    <t>REC-0360</t>
  </si>
  <si>
    <t>REC-0361</t>
  </si>
  <si>
    <t>REC-0362</t>
  </si>
  <si>
    <t>REC-0363</t>
  </si>
  <si>
    <t>REC-0364</t>
  </si>
  <si>
    <t>REC-0365</t>
  </si>
  <si>
    <t>REC-0366</t>
  </si>
  <si>
    <t>REC-0367</t>
  </si>
  <si>
    <t>REC-0368</t>
  </si>
  <si>
    <t>REC-0369</t>
  </si>
  <si>
    <t>REC-0370</t>
  </si>
  <si>
    <t>REC-0371</t>
  </si>
  <si>
    <t>REC-0372</t>
  </si>
  <si>
    <t>REC-0373</t>
  </si>
  <si>
    <t>REC-0374</t>
  </si>
  <si>
    <t>REC-0375</t>
  </si>
  <si>
    <t>REC-0376</t>
  </si>
  <si>
    <t>REC-0377</t>
  </si>
  <si>
    <t>REC-0378</t>
  </si>
  <si>
    <t>REC-0379</t>
  </si>
  <si>
    <t>REC-0380</t>
  </si>
  <si>
    <t>REC-0381</t>
  </si>
  <si>
    <t>REC-0382</t>
  </si>
  <si>
    <t>REC-0383</t>
  </si>
  <si>
    <t>REC-0384</t>
  </si>
  <si>
    <t>REC-0385</t>
  </si>
  <si>
    <t>REC-0386</t>
  </si>
  <si>
    <t>REC-0387</t>
  </si>
  <si>
    <t>REC-0388</t>
  </si>
  <si>
    <t>REC-0389</t>
  </si>
  <si>
    <t>REC-0390</t>
  </si>
  <si>
    <t>REC-0391</t>
  </si>
  <si>
    <t>REC-0392</t>
  </si>
  <si>
    <t>REC-0393</t>
  </si>
  <si>
    <t>REC-0394</t>
  </si>
  <si>
    <t>REC-0395</t>
  </si>
  <si>
    <t>REC-0396</t>
  </si>
  <si>
    <t>REC-0397</t>
  </si>
  <si>
    <t>REC-0398</t>
  </si>
  <si>
    <t>REC-0399</t>
  </si>
  <si>
    <t>REC-0400</t>
  </si>
  <si>
    <t>REC-0401</t>
  </si>
  <si>
    <t>REC-0402</t>
  </si>
  <si>
    <t>REC-0403</t>
  </si>
  <si>
    <t>REC-0404</t>
  </si>
  <si>
    <t>REC-0405</t>
  </si>
  <si>
    <t>REC-0406</t>
  </si>
  <si>
    <t>REC-0407</t>
  </si>
  <si>
    <t>REC-0408</t>
  </si>
  <si>
    <t>REC-0409</t>
  </si>
  <si>
    <t>REC-0410</t>
  </si>
  <si>
    <t>REC-0411</t>
  </si>
  <si>
    <t>REC-0412</t>
  </si>
  <si>
    <t>REC-0413</t>
  </si>
  <si>
    <t>REC-0414</t>
  </si>
  <si>
    <t>REC-0415</t>
  </si>
  <si>
    <t>REC-0416</t>
  </si>
  <si>
    <t>REC-0417</t>
  </si>
  <si>
    <t>REC-0418</t>
  </si>
  <si>
    <t>REC-0419</t>
  </si>
  <si>
    <t>REC-0420</t>
  </si>
  <si>
    <t>REC-0421</t>
  </si>
  <si>
    <t>REC-0422</t>
  </si>
  <si>
    <t>REC-0423</t>
  </si>
  <si>
    <t>REC-0424</t>
  </si>
  <si>
    <t>REC-0425</t>
  </si>
  <si>
    <t>REC-0426</t>
  </si>
  <si>
    <t>REC-0427</t>
  </si>
  <si>
    <t>REC-0428</t>
  </si>
  <si>
    <t>REC-0429</t>
  </si>
  <si>
    <t>REC-0430</t>
  </si>
  <si>
    <t>REC-0431</t>
  </si>
  <si>
    <t>REC-0432</t>
  </si>
  <si>
    <t>REC-0433</t>
  </si>
  <si>
    <t>REC-0434</t>
  </si>
  <si>
    <t>REC-0435</t>
  </si>
  <si>
    <t>REC-0436</t>
  </si>
  <si>
    <t>REC-0437</t>
  </si>
  <si>
    <t>REC-0438</t>
  </si>
  <si>
    <t>REC-0439</t>
  </si>
  <si>
    <t>REC-0440</t>
  </si>
  <si>
    <t>REC-0441</t>
  </si>
  <si>
    <t>REC-0442</t>
  </si>
  <si>
    <t>REC-0443</t>
  </si>
  <si>
    <t>REC-0444</t>
  </si>
  <si>
    <t>REC-0445</t>
  </si>
  <si>
    <t>REC-0446</t>
  </si>
  <si>
    <t>REC-0447</t>
  </si>
  <si>
    <t>REC-0448</t>
  </si>
  <si>
    <t>REC-0449</t>
  </si>
  <si>
    <t>REC-0450</t>
  </si>
  <si>
    <t>REC-0451</t>
  </si>
  <si>
    <t>REC-0452</t>
  </si>
  <si>
    <t>REC-0453</t>
  </si>
  <si>
    <t>REC-0454</t>
  </si>
  <si>
    <t>REC-0455</t>
  </si>
  <si>
    <t>REC-0456</t>
  </si>
  <si>
    <t>REC-0457</t>
  </si>
  <si>
    <t>REC-0458</t>
  </si>
  <si>
    <t>REC-0459</t>
  </si>
  <si>
    <t>REC-0460</t>
  </si>
  <si>
    <t>REC-0461</t>
  </si>
  <si>
    <t>REC-0462</t>
  </si>
  <si>
    <t>REC-0463</t>
  </si>
  <si>
    <t>REC-0464</t>
  </si>
  <si>
    <t>REC-0465</t>
  </si>
  <si>
    <t>REC-0466</t>
  </si>
  <si>
    <t>REC-0467</t>
  </si>
  <si>
    <t>REC-0468</t>
  </si>
  <si>
    <t>REC-0469</t>
  </si>
  <si>
    <t>REC-0470</t>
  </si>
  <si>
    <t>REC-0471</t>
  </si>
  <si>
    <t>REC-0472</t>
  </si>
  <si>
    <t>REC-0473</t>
  </si>
  <si>
    <t>REC-0474</t>
  </si>
  <si>
    <t>REC-0475</t>
  </si>
  <si>
    <t>REC-0476</t>
  </si>
  <si>
    <t>REC-0477</t>
  </si>
  <si>
    <t>REC-0478</t>
  </si>
  <si>
    <t>REC-0479</t>
  </si>
  <si>
    <t>REC-0480</t>
  </si>
  <si>
    <t>REC-0481</t>
  </si>
  <si>
    <t>REC-0482</t>
  </si>
  <si>
    <t>REC-0483</t>
  </si>
  <si>
    <t>REC-0484</t>
  </si>
  <si>
    <t>REC-0485</t>
  </si>
  <si>
    <t>REC-0486</t>
  </si>
  <si>
    <t>REC-0487</t>
  </si>
  <si>
    <t>REC-0488</t>
  </si>
  <si>
    <t>REC-0489</t>
  </si>
  <si>
    <t>REC-0490</t>
  </si>
  <si>
    <t>REC-0491</t>
  </si>
  <si>
    <t>REC-0492</t>
  </si>
  <si>
    <t>REC-0493</t>
  </si>
  <si>
    <t>REC-0494</t>
  </si>
  <si>
    <t>REC-0495</t>
  </si>
  <si>
    <t>REC-0496</t>
  </si>
  <si>
    <t>REC-0497</t>
  </si>
  <si>
    <t>REC-0498</t>
  </si>
  <si>
    <t>REC-0499</t>
  </si>
  <si>
    <t>REC-0500</t>
  </si>
  <si>
    <t>REC-0501</t>
  </si>
  <si>
    <t>REC-0502</t>
  </si>
  <si>
    <t>REC-0503</t>
  </si>
  <si>
    <t>REC-0504</t>
  </si>
  <si>
    <t>REC-0505</t>
  </si>
  <si>
    <t>REC-0506</t>
  </si>
  <si>
    <t>REC-0507</t>
  </si>
  <si>
    <t>REC-0508</t>
  </si>
  <si>
    <t>REC-0509</t>
  </si>
  <si>
    <t>REC-0510</t>
  </si>
  <si>
    <t>REC-0511</t>
  </si>
  <si>
    <t>REC-0512</t>
  </si>
  <si>
    <t>REC-0513</t>
  </si>
  <si>
    <t>REC-0514</t>
  </si>
  <si>
    <t>REC-0515</t>
  </si>
  <si>
    <t>REC-0516</t>
  </si>
  <si>
    <t>REC-0517</t>
  </si>
  <si>
    <t>REC-0518</t>
  </si>
  <si>
    <t>REC-0519</t>
  </si>
  <si>
    <t>REC-0520</t>
  </si>
  <si>
    <t>REC-0521</t>
  </si>
  <si>
    <t>REC-0522</t>
  </si>
  <si>
    <t>REC-0523</t>
  </si>
  <si>
    <t>REC-0524</t>
  </si>
  <si>
    <t>REC-0525</t>
  </si>
  <si>
    <t>REC-0526</t>
  </si>
  <si>
    <t>REC-0527</t>
  </si>
  <si>
    <t>REC-0528</t>
  </si>
  <si>
    <t>REC-0529</t>
  </si>
  <si>
    <t>REC-0530</t>
  </si>
  <si>
    <t>REC-0531</t>
  </si>
  <si>
    <t>REC-0532</t>
  </si>
  <si>
    <t>REC-0533</t>
  </si>
  <si>
    <t>REC-0534</t>
  </si>
  <si>
    <t>REC-0535</t>
  </si>
  <si>
    <t>REC-0536</t>
  </si>
  <si>
    <t>REC-0537</t>
  </si>
  <si>
    <t>REC-0538</t>
  </si>
  <si>
    <t>REC-0539</t>
  </si>
  <si>
    <t>REC-0540</t>
  </si>
  <si>
    <t>REC-0541</t>
  </si>
  <si>
    <t>REC-0542</t>
  </si>
  <si>
    <t>REC-0543</t>
  </si>
  <si>
    <t>REC-0544</t>
  </si>
  <si>
    <t>REC-0545</t>
  </si>
  <si>
    <t>REC-0546</t>
  </si>
  <si>
    <t>REC-0547</t>
  </si>
  <si>
    <t>REC-0548</t>
  </si>
  <si>
    <t>REC-0549</t>
  </si>
  <si>
    <t>REC-0550</t>
  </si>
  <si>
    <t>REC-0551</t>
  </si>
  <si>
    <t>REC-0552</t>
  </si>
  <si>
    <t>REC-0553</t>
  </si>
  <si>
    <t>REC-0554</t>
  </si>
  <si>
    <t>REC-0555</t>
  </si>
  <si>
    <t>REC-0556</t>
  </si>
  <si>
    <t>REC-0557</t>
  </si>
  <si>
    <t>REC-0558</t>
  </si>
  <si>
    <t>REC-0559</t>
  </si>
  <si>
    <t>REC-0560</t>
  </si>
  <si>
    <t>REC-0561</t>
  </si>
  <si>
    <t>REC-0562</t>
  </si>
  <si>
    <t>REC-0563</t>
  </si>
  <si>
    <t>REC-0564</t>
  </si>
  <si>
    <t>REC-0565</t>
  </si>
  <si>
    <t>REC-0566</t>
  </si>
  <si>
    <t>REC-0567</t>
  </si>
  <si>
    <t>REC-0568</t>
  </si>
  <si>
    <t>REC-0569</t>
  </si>
  <si>
    <t>REC-0570</t>
  </si>
  <si>
    <t>REC-0571</t>
  </si>
  <si>
    <t>REC-0572</t>
  </si>
  <si>
    <t>REC-0573</t>
  </si>
  <si>
    <t>REC-0574</t>
  </si>
  <si>
    <t>REC-0575</t>
  </si>
  <si>
    <t>REC-0576</t>
  </si>
  <si>
    <t>REC-0577</t>
  </si>
  <si>
    <t>REC-0578</t>
  </si>
  <si>
    <t>REC-0579</t>
  </si>
  <si>
    <t>REC-0580</t>
  </si>
  <si>
    <t>REC-0581</t>
  </si>
  <si>
    <t>REC-0582</t>
  </si>
  <si>
    <t>REC-0583</t>
  </si>
  <si>
    <t>REC-0584</t>
  </si>
  <si>
    <t>REC-0585</t>
  </si>
  <si>
    <t>REC-0586</t>
  </si>
  <si>
    <t>REC-0587</t>
  </si>
  <si>
    <t>REC-0588</t>
  </si>
  <si>
    <t>REC-0589</t>
  </si>
  <si>
    <t>REC-0590</t>
  </si>
  <si>
    <t>REC-0591</t>
  </si>
  <si>
    <t>REC-0592</t>
  </si>
  <si>
    <t>REC-0593</t>
  </si>
  <si>
    <t>REC-0594</t>
  </si>
  <si>
    <t>REC-0595</t>
  </si>
  <si>
    <t>REC-0596</t>
  </si>
  <si>
    <t>REC-0597</t>
  </si>
  <si>
    <t>REC-0598</t>
  </si>
  <si>
    <t>REC-0599</t>
  </si>
  <si>
    <t>REC-0600</t>
  </si>
  <si>
    <t>REC-0601</t>
  </si>
  <si>
    <t>REC-0602</t>
  </si>
  <si>
    <t>REC-0603</t>
  </si>
  <si>
    <t>REC-0604</t>
  </si>
  <si>
    <t>REC-0605</t>
  </si>
  <si>
    <t>REC-0606</t>
  </si>
  <si>
    <t>REC-0607</t>
  </si>
  <si>
    <t>REC-0608</t>
  </si>
  <si>
    <t>REC-0609</t>
  </si>
  <si>
    <t>REC-0610</t>
  </si>
  <si>
    <t>REC-0611</t>
  </si>
  <si>
    <t>REC-0612</t>
  </si>
  <si>
    <t>REC-0613</t>
  </si>
  <si>
    <t>REC-0614</t>
  </si>
  <si>
    <t>REC-0615</t>
  </si>
  <si>
    <t>REC-0616</t>
  </si>
  <si>
    <t>REC-0617</t>
  </si>
  <si>
    <t>REC-0618</t>
  </si>
  <si>
    <t>REC-0619</t>
  </si>
  <si>
    <t>REC-0620</t>
  </si>
  <si>
    <t>REC-0621</t>
  </si>
  <si>
    <t>REC-0622</t>
  </si>
  <si>
    <t>REC-0623</t>
  </si>
  <si>
    <t>REC-0624</t>
  </si>
  <si>
    <t>REC-0625</t>
  </si>
  <si>
    <t>REC-0626</t>
  </si>
  <si>
    <t>REC-0627</t>
  </si>
  <si>
    <t>REC-0628</t>
  </si>
  <si>
    <t>REC-0629</t>
  </si>
  <si>
    <t>REC-0630</t>
  </si>
  <si>
    <t>REC-0631</t>
  </si>
  <si>
    <t>REC-0632</t>
  </si>
  <si>
    <t>REC-0633</t>
  </si>
  <si>
    <t>REC-0634</t>
  </si>
  <si>
    <t>REC-0635</t>
  </si>
  <si>
    <t>REC-0636</t>
  </si>
  <si>
    <t>REC-0637</t>
  </si>
  <si>
    <t>REC-0638</t>
  </si>
  <si>
    <t>REC-0639</t>
  </si>
  <si>
    <t>REC-0640</t>
  </si>
  <si>
    <t>REC-0641</t>
  </si>
  <si>
    <t>REC-0642</t>
  </si>
  <si>
    <t>REC-0643</t>
  </si>
  <si>
    <t>REC-0644</t>
  </si>
  <si>
    <t>REC-0645</t>
  </si>
  <si>
    <t>REC-0646</t>
  </si>
  <si>
    <t>REC-0647</t>
  </si>
  <si>
    <t>REC-0648</t>
  </si>
  <si>
    <t>REC-0649</t>
  </si>
  <si>
    <t>REC-0650</t>
  </si>
  <si>
    <t>REC-0651</t>
  </si>
  <si>
    <t>REC-0652</t>
  </si>
  <si>
    <t>REC-0653</t>
  </si>
  <si>
    <t>REC-0654</t>
  </si>
  <si>
    <t>REC-0655</t>
  </si>
  <si>
    <t>REC-0656</t>
  </si>
  <si>
    <t>REC-0657</t>
  </si>
  <si>
    <t>REC-0658</t>
  </si>
  <si>
    <t>REC-0659</t>
  </si>
  <si>
    <t>REC-0660</t>
  </si>
  <si>
    <t>REC-0661</t>
  </si>
  <si>
    <t>REC-0662</t>
  </si>
  <si>
    <t>REC-0663</t>
  </si>
  <si>
    <t>REC-0664</t>
  </si>
  <si>
    <t>REC-0665</t>
  </si>
  <si>
    <t>REC-0666</t>
  </si>
  <si>
    <t>REC-0667</t>
  </si>
  <si>
    <t>REC-0668</t>
  </si>
  <si>
    <t>REC-0669</t>
  </si>
  <si>
    <t>REC-0670</t>
  </si>
  <si>
    <t>REC-0671</t>
  </si>
  <si>
    <t>REC-0672</t>
  </si>
  <si>
    <t>REC-0673</t>
  </si>
  <si>
    <t>REC-0674</t>
  </si>
  <si>
    <t>REC-0675</t>
  </si>
  <si>
    <t>REC-0676</t>
  </si>
  <si>
    <t>REC-0677</t>
  </si>
  <si>
    <t>REC-0678</t>
  </si>
  <si>
    <t>REC-0679</t>
  </si>
  <si>
    <t>REC-0680</t>
  </si>
  <si>
    <t>REC-0681</t>
  </si>
  <si>
    <t>REC-0682</t>
  </si>
  <si>
    <t>REC-0683</t>
  </si>
  <si>
    <t>REC-0684</t>
  </si>
  <si>
    <t>REC-0685</t>
  </si>
  <si>
    <t>REC-0686</t>
  </si>
  <si>
    <t>REC-0687</t>
  </si>
  <si>
    <t>REC-0688</t>
  </si>
  <si>
    <t>REC-0689</t>
  </si>
  <si>
    <t>REC-0690</t>
  </si>
  <si>
    <t>REC-0691</t>
  </si>
  <si>
    <t>REC-0692</t>
  </si>
  <si>
    <t>REC-0693</t>
  </si>
  <si>
    <t>REC-0694</t>
  </si>
  <si>
    <t>REC-0695</t>
  </si>
  <si>
    <t>REC-0696</t>
  </si>
  <si>
    <t>REC-0697</t>
  </si>
  <si>
    <t>REC-0698</t>
  </si>
  <si>
    <t>REC-0699</t>
  </si>
  <si>
    <t>REC-0700</t>
  </si>
  <si>
    <t>REC-0701</t>
  </si>
  <si>
    <t>REC-0702</t>
  </si>
  <si>
    <t>REC-0703</t>
  </si>
  <si>
    <t>REC-0704</t>
  </si>
  <si>
    <t>REC-0705</t>
  </si>
  <si>
    <t>REC-0706</t>
  </si>
  <si>
    <t>REC-0707</t>
  </si>
  <si>
    <t>REC-0708</t>
  </si>
  <si>
    <t>REC-0709</t>
  </si>
  <si>
    <t>REC-0710</t>
  </si>
  <si>
    <t>REC-0711</t>
  </si>
  <si>
    <t>REC-0712</t>
  </si>
  <si>
    <t>REC-0713</t>
  </si>
  <si>
    <t>REC-0714</t>
  </si>
  <si>
    <t>REC-0715</t>
  </si>
  <si>
    <t>REC-0716</t>
  </si>
  <si>
    <t>REC-0717</t>
  </si>
  <si>
    <t>REC-0718</t>
  </si>
  <si>
    <t>REC-0719</t>
  </si>
  <si>
    <t>REC-0720</t>
  </si>
  <si>
    <t>REC-0721</t>
  </si>
  <si>
    <t>REC-0722</t>
  </si>
  <si>
    <t>REC-0723</t>
  </si>
  <si>
    <t>REC-0724</t>
  </si>
  <si>
    <t>REC-0725</t>
  </si>
  <si>
    <t>REC-0726</t>
  </si>
  <si>
    <t>REC-0727</t>
  </si>
  <si>
    <t>REC-0728</t>
  </si>
  <si>
    <t>REC-0729</t>
  </si>
  <si>
    <t>REC-0730</t>
  </si>
  <si>
    <t>REC-0731</t>
  </si>
  <si>
    <t>REC-0732</t>
  </si>
  <si>
    <t>REC-0733</t>
  </si>
  <si>
    <t>REC-0734</t>
  </si>
  <si>
    <t>REC-0735</t>
  </si>
  <si>
    <t>REC-0736</t>
  </si>
  <si>
    <t>REC-0737</t>
  </si>
  <si>
    <t>REC-0738</t>
  </si>
  <si>
    <t>REC-0739</t>
  </si>
  <si>
    <t>REC-0740</t>
  </si>
  <si>
    <t>REC-0741</t>
  </si>
  <si>
    <t>REC-0742</t>
  </si>
  <si>
    <t>REC-0743</t>
  </si>
  <si>
    <t>REC-0744</t>
  </si>
  <si>
    <t>REC-0745</t>
  </si>
  <si>
    <t>REC-0746</t>
  </si>
  <si>
    <t>REC-0747</t>
  </si>
  <si>
    <t>REC-0748</t>
  </si>
  <si>
    <t>REC-0749</t>
  </si>
  <si>
    <t>REC-0750</t>
  </si>
  <si>
    <t>REC-0751</t>
  </si>
  <si>
    <t>REC-0752</t>
  </si>
  <si>
    <t>REC-0753</t>
  </si>
  <si>
    <t>REC-0754</t>
  </si>
  <si>
    <t>REC-0755</t>
  </si>
  <si>
    <t>REC-0756</t>
  </si>
  <si>
    <t>REC-0757</t>
  </si>
  <si>
    <t>REC-0758</t>
  </si>
  <si>
    <t>REC-0759</t>
  </si>
  <si>
    <t>REC-0760</t>
  </si>
  <si>
    <t>REC-0761</t>
  </si>
  <si>
    <t>REC-0762</t>
  </si>
  <si>
    <t>REC-0763</t>
  </si>
  <si>
    <t>REC-0764</t>
  </si>
  <si>
    <t>REC-0765</t>
  </si>
  <si>
    <t>REC-0766</t>
  </si>
  <si>
    <t>REC-0767</t>
  </si>
  <si>
    <t>REC-0768</t>
  </si>
  <si>
    <t>REC-0769</t>
  </si>
  <si>
    <t>REC-0770</t>
  </si>
  <si>
    <t>REC-0771</t>
  </si>
  <si>
    <t>REC-0772</t>
  </si>
  <si>
    <t>REC-0773</t>
  </si>
  <si>
    <t>REC-0774</t>
  </si>
  <si>
    <t>REC-0775</t>
  </si>
  <si>
    <t>REC-0776</t>
  </si>
  <si>
    <t>REC-0777</t>
  </si>
  <si>
    <t>REC-0778</t>
  </si>
  <si>
    <t>REC-0779</t>
  </si>
  <si>
    <t>REC-0780</t>
  </si>
  <si>
    <t>REC-0781</t>
  </si>
  <si>
    <t>REC-0782</t>
  </si>
  <si>
    <t>REC-0783</t>
  </si>
  <si>
    <t>REC-0784</t>
  </si>
  <si>
    <t>REC-0785</t>
  </si>
  <si>
    <t>REC-0786</t>
  </si>
  <si>
    <t>REC-0787</t>
  </si>
  <si>
    <t>REC-0788</t>
  </si>
  <si>
    <t>REC-0789</t>
  </si>
  <si>
    <t>REC-0790</t>
  </si>
  <si>
    <t>REC-0791</t>
  </si>
  <si>
    <t>REC-0792</t>
  </si>
  <si>
    <t>REC-0793</t>
  </si>
  <si>
    <t>REC-0794</t>
  </si>
  <si>
    <t>REC-0795</t>
  </si>
  <si>
    <t>REC-0796</t>
  </si>
  <si>
    <t>REC-0797</t>
  </si>
  <si>
    <t>REC-0798</t>
  </si>
  <si>
    <t>REC-0799</t>
  </si>
  <si>
    <t>REC-0800</t>
  </si>
  <si>
    <t>REC-0801</t>
  </si>
  <si>
    <t>REC-0802</t>
  </si>
  <si>
    <t>REC-0803</t>
  </si>
  <si>
    <t>REC-0804</t>
  </si>
  <si>
    <t>REC-0805</t>
  </si>
  <si>
    <t>REC-0806</t>
  </si>
  <si>
    <t>REC-0807</t>
  </si>
  <si>
    <t>REC-0808</t>
  </si>
  <si>
    <t>REC-0809</t>
  </si>
  <si>
    <t>REC-0810</t>
  </si>
  <si>
    <t>REC-0811</t>
  </si>
  <si>
    <t>REC-0812</t>
  </si>
  <si>
    <t>REC-0813</t>
  </si>
  <si>
    <t>REC-0814</t>
  </si>
  <si>
    <t>REC-0815</t>
  </si>
  <si>
    <t>REC-0816</t>
  </si>
  <si>
    <t>REC-0817</t>
  </si>
  <si>
    <t>REC-0818</t>
  </si>
  <si>
    <t>REC-0819</t>
  </si>
  <si>
    <t>REC-0820</t>
  </si>
  <si>
    <t>REC-0821</t>
  </si>
  <si>
    <t>REC-0822</t>
  </si>
  <si>
    <t>REC-0823</t>
  </si>
  <si>
    <t>REC-0824</t>
  </si>
  <si>
    <t>REC-0825</t>
  </si>
  <si>
    <t>REC-0826</t>
  </si>
  <si>
    <t>REC-0827</t>
  </si>
  <si>
    <t>REC-0828</t>
  </si>
  <si>
    <t>REC-0829</t>
  </si>
  <si>
    <t>REC-0830</t>
  </si>
  <si>
    <t>REC-0831</t>
  </si>
  <si>
    <t>REC-0832</t>
  </si>
  <si>
    <t>REC-0833</t>
  </si>
  <si>
    <t>REC-0834</t>
  </si>
  <si>
    <t>REC-0835</t>
  </si>
  <si>
    <t>REC-0836</t>
  </si>
  <si>
    <t>REC-0837</t>
  </si>
  <si>
    <t>REC-0838</t>
  </si>
  <si>
    <t>REC-0839</t>
  </si>
  <si>
    <t>REC-0840</t>
  </si>
  <si>
    <t>REC-0841</t>
  </si>
  <si>
    <t>REC-0842</t>
  </si>
  <si>
    <t>REC-0843</t>
  </si>
  <si>
    <t>REC-0844</t>
  </si>
  <si>
    <t>REC-0845</t>
  </si>
  <si>
    <t>REC-0846</t>
  </si>
  <si>
    <t>REC-0847</t>
  </si>
  <si>
    <t>REC-0848</t>
  </si>
  <si>
    <t>REC-0849</t>
  </si>
  <si>
    <t>REC-0850</t>
  </si>
  <si>
    <t>REC-0851</t>
  </si>
  <si>
    <t>REC-0852</t>
  </si>
  <si>
    <t>REC-0853</t>
  </si>
  <si>
    <t>REC-0854</t>
  </si>
  <si>
    <t>REC-0855</t>
  </si>
  <si>
    <t>REC-0856</t>
  </si>
  <si>
    <t>REC-0857</t>
  </si>
  <si>
    <t>REC-0858</t>
  </si>
  <si>
    <t>REC-0859</t>
  </si>
  <si>
    <t>REC-0860</t>
  </si>
  <si>
    <t>REC-0861</t>
  </si>
  <si>
    <t>REC-0862</t>
  </si>
  <si>
    <t>REC-0863</t>
  </si>
  <si>
    <t>REC-0864</t>
  </si>
  <si>
    <t>REC-0865</t>
  </si>
  <si>
    <t>REC-0866</t>
  </si>
  <si>
    <t>REC-0867</t>
  </si>
  <si>
    <t>REC-0868</t>
  </si>
  <si>
    <t>REC-0869</t>
  </si>
  <si>
    <t>REC-0870</t>
  </si>
  <si>
    <t>REC-0871</t>
  </si>
  <si>
    <t>REC-0872</t>
  </si>
  <si>
    <t>REC-0873</t>
  </si>
  <si>
    <t>REC-0874</t>
  </si>
  <si>
    <t>REC-0875</t>
  </si>
  <si>
    <t>REC-0876</t>
  </si>
  <si>
    <t>REC-0877</t>
  </si>
  <si>
    <t>REC-0878</t>
  </si>
  <si>
    <t>REC-0879</t>
  </si>
  <si>
    <t>REC-0880</t>
  </si>
  <si>
    <t>REC-0881</t>
  </si>
  <si>
    <t>REC-0882</t>
  </si>
  <si>
    <t>REC-0883</t>
  </si>
  <si>
    <t>REC-0884</t>
  </si>
  <si>
    <t>REC-0885</t>
  </si>
  <si>
    <t>REC-0886</t>
  </si>
  <si>
    <t>REC-0887</t>
  </si>
  <si>
    <t>REC-0888</t>
  </si>
  <si>
    <t>REC-0889</t>
  </si>
  <si>
    <t>REC-0890</t>
  </si>
  <si>
    <t>REC-0891</t>
  </si>
  <si>
    <t>REC-0892</t>
  </si>
  <si>
    <t>REC-0893</t>
  </si>
  <si>
    <t>REC-0894</t>
  </si>
  <si>
    <t>REC-0895</t>
  </si>
  <si>
    <t>REC-0896</t>
  </si>
  <si>
    <t>REC-0897</t>
  </si>
  <si>
    <t>REC-0898</t>
  </si>
  <si>
    <t>REC-0899</t>
  </si>
  <si>
    <t>REC-0900</t>
  </si>
  <si>
    <t>REC-0901</t>
  </si>
  <si>
    <t>REC-0902</t>
  </si>
  <si>
    <t>REC-0903</t>
  </si>
  <si>
    <t>REC-0904</t>
  </si>
  <si>
    <t>REC-0905</t>
  </si>
  <si>
    <t>REC-0906</t>
  </si>
  <si>
    <t>REC-0907</t>
  </si>
  <si>
    <t>REC-0908</t>
  </si>
  <si>
    <t>REC-0909</t>
  </si>
  <si>
    <t>REC-0910</t>
  </si>
  <si>
    <t>REC-0911</t>
  </si>
  <si>
    <t>REC-0912</t>
  </si>
  <si>
    <t>REC-0913</t>
  </si>
  <si>
    <t>REC-0914</t>
  </si>
  <si>
    <t>REC-0915</t>
  </si>
  <si>
    <t>REC-0916</t>
  </si>
  <si>
    <t>REC-0917</t>
  </si>
  <si>
    <t>REC-0918</t>
  </si>
  <si>
    <t>REC-0919</t>
  </si>
  <si>
    <t>REC-0920</t>
  </si>
  <si>
    <t>REC-0921</t>
  </si>
  <si>
    <t>REC-0922</t>
  </si>
  <si>
    <t>REC-0923</t>
  </si>
  <si>
    <t>REC-0924</t>
  </si>
  <si>
    <t>REC-0925</t>
  </si>
  <si>
    <t>REC-0926</t>
  </si>
  <si>
    <t>REC-0927</t>
  </si>
  <si>
    <t>REC-0928</t>
  </si>
  <si>
    <t>REC-0929</t>
  </si>
  <si>
    <t>REC-0930</t>
  </si>
  <si>
    <t>REC-0931</t>
  </si>
  <si>
    <t>REC-0932</t>
  </si>
  <si>
    <t>REC-0933</t>
  </si>
  <si>
    <t>REC-0934</t>
  </si>
  <si>
    <t>REC-0935</t>
  </si>
  <si>
    <t>REC-0936</t>
  </si>
  <si>
    <t>REC-0937</t>
  </si>
  <si>
    <t>REC-0938</t>
  </si>
  <si>
    <t>REC-0939</t>
  </si>
  <si>
    <t>REC-0940</t>
  </si>
  <si>
    <t>REC-0941</t>
  </si>
  <si>
    <t>REC-0942</t>
  </si>
  <si>
    <t>REC-0943</t>
  </si>
  <si>
    <t>REC-0944</t>
  </si>
  <si>
    <t>REC-0945</t>
  </si>
  <si>
    <t>REC-0946</t>
  </si>
  <si>
    <t>REC-0947</t>
  </si>
  <si>
    <t>REC-0948</t>
  </si>
  <si>
    <t>REC-0949</t>
  </si>
  <si>
    <t>REC-0950</t>
  </si>
  <si>
    <t>REC-0951</t>
  </si>
  <si>
    <t>REC-0952</t>
  </si>
  <si>
    <t>REC-0953</t>
  </si>
  <si>
    <t>REC-0954</t>
  </si>
  <si>
    <t>REC-0955</t>
  </si>
  <si>
    <t>REC-0956</t>
  </si>
  <si>
    <t>REC-0957</t>
  </si>
  <si>
    <t>REC-0958</t>
  </si>
  <si>
    <t>REC-0959</t>
  </si>
  <si>
    <t>REC-0960</t>
  </si>
  <si>
    <t>REC-0961</t>
  </si>
  <si>
    <t>REC-0962</t>
  </si>
  <si>
    <t>REC-0963</t>
  </si>
  <si>
    <t>REC-0964</t>
  </si>
  <si>
    <t>REC-0965</t>
  </si>
  <si>
    <t>REC-0966</t>
  </si>
  <si>
    <t>REC-0967</t>
  </si>
  <si>
    <t>REC-0968</t>
  </si>
  <si>
    <t>REC-0969</t>
  </si>
  <si>
    <t>REC-0970</t>
  </si>
  <si>
    <t>REC-0971</t>
  </si>
  <si>
    <t>REC-0972</t>
  </si>
  <si>
    <t>REC-0973</t>
  </si>
  <si>
    <t>REC-0974</t>
  </si>
  <si>
    <t>REC-0975</t>
  </si>
  <si>
    <t>REC-0976</t>
  </si>
  <si>
    <t>REC-0977</t>
  </si>
  <si>
    <t>REC-0978</t>
  </si>
  <si>
    <t>REC-0979</t>
  </si>
  <si>
    <t>REC-0980</t>
  </si>
  <si>
    <t>REC-0981</t>
  </si>
  <si>
    <t>REC-0982</t>
  </si>
  <si>
    <t>REC-0983</t>
  </si>
  <si>
    <t>REC-0984</t>
  </si>
  <si>
    <t>REC-0985</t>
  </si>
  <si>
    <t>REC-0986</t>
  </si>
  <si>
    <t>REC-0987</t>
  </si>
  <si>
    <t>REC-0988</t>
  </si>
  <si>
    <t>REC-0989</t>
  </si>
  <si>
    <t>REC-0990</t>
  </si>
  <si>
    <t>REC-0991</t>
  </si>
  <si>
    <t>REC-0992</t>
  </si>
  <si>
    <t>REC-0993</t>
  </si>
  <si>
    <t>REC-0994</t>
  </si>
  <si>
    <t>REC-0995</t>
  </si>
  <si>
    <t>REC-0996</t>
  </si>
  <si>
    <t>REC-0997</t>
  </si>
  <si>
    <t>REC-0998</t>
  </si>
  <si>
    <t>REC-0999</t>
  </si>
  <si>
    <t>REC-1000</t>
  </si>
  <si>
    <t>Column</t>
  </si>
  <si>
    <t>Description</t>
  </si>
  <si>
    <t>Dashboard Use</t>
  </si>
  <si>
    <t>Unique identifier for each performance record.</t>
  </si>
  <si>
    <t>Count of records / drill-through.</t>
  </si>
  <si>
    <t>Date of the activity/performance record.</t>
  </si>
  <si>
    <t>Daily trend, timeline filters.</t>
  </si>
  <si>
    <t>First day of the month derived from Date.</t>
  </si>
  <si>
    <t>Monthly trend, slicers, Pivot grouping.</t>
  </si>
  <si>
    <t>Unique employee code.</t>
  </si>
  <si>
    <t>Employee-level filtering.</t>
  </si>
  <si>
    <t>Name of one of the six employees.</t>
  </si>
  <si>
    <t>Ranking, comparison, slicers.</t>
  </si>
  <si>
    <t>Business department: Sales, Operations, or Customer Experience.</t>
  </si>
  <si>
    <t>Department comparison.</t>
  </si>
  <si>
    <t>Team within the department.</t>
  </si>
  <si>
    <t>Team-level performance comparison.</t>
  </si>
  <si>
    <t>Primary work location.</t>
  </si>
  <si>
    <t>Geographic / location slicing.</t>
  </si>
  <si>
    <t>Expected number of tasks for the record.</t>
  </si>
  <si>
    <t>Target KPI.</t>
  </si>
  <si>
    <t>Actual completed tasks.</t>
  </si>
  <si>
    <t>Actual KPI and productivity.</t>
  </si>
  <si>
    <t>Quality assessment as a percentage.</t>
  </si>
  <si>
    <t>Quality KPI.</t>
  </si>
  <si>
    <t>Attendance / availability percentage.</t>
  </si>
  <si>
    <t>Attendance KPI.</t>
  </si>
  <si>
    <t>Customer satisfaction score as a percentage.</t>
  </si>
  <si>
    <t>CSAT KPI.</t>
  </si>
  <si>
    <t>Estimated value/revenue associated with completed work.</t>
  </si>
  <si>
    <t>Revenue KPI and trend.</t>
  </si>
  <si>
    <t>Weighted score: 40% productivity, 25% quality, 15% attendance, 20% CSAT.</t>
  </si>
  <si>
    <t>Overall performance KPI / ranking.</t>
  </si>
  <si>
    <t>Performance Score = MIN(Completed Tasks ÷ Target Tasks, 120%) × 40% + Quality × 25% + Attendance × 15% + CSAT × 20%</t>
  </si>
  <si>
    <t>All</t>
  </si>
  <si>
    <t>Row Labels</t>
  </si>
  <si>
    <t>Grand Total</t>
  </si>
  <si>
    <t>2024</t>
  </si>
  <si>
    <t>2025</t>
  </si>
  <si>
    <t>2026</t>
  </si>
  <si>
    <t>Sum of Revenue (AED)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</si>
  <si>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</si>
  <si>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</si>
  <si>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</si>
  <si>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</si>
  <si>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</si>
  <si>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</si>
  <si>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</si>
  <si>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</si>
  <si>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</si>
  <si>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</si>
  <si>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</si>
  <si>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</si>
  <si>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Performance Score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</si>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</sst>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mmm\ yyyy"/>
    <numFmt numFmtId="166" formatCode="0.0%"/>
    <numFmt numFmtId="167" formatCode="#,##0\ &quot;AED&quot;"/>
    <numFmt numFmtId="168" formatCode="mmm\,yy"/>
    <numFmt numFmtId="169" formatCode="\▲\ 0.00%;\▼\ \-0.00%;0.00%"/>
    <numFmt numFmtId="170" formatCode="#,##0.00\ &quot;AED&quot;"/>
    <numFmt numFmtId="172" formatCode="_(* #,##0_);_(* \(#,##0\);_(* &quot;-&quot;??_);_(@_)"/>
  </numFmts>
  <fonts count="7">
    <font>
      <sz val="11"/>
      <name val="Carlito"/>
    </font>
    <font>
      <b/>
      <sz val="11"/>
      <color rgb="FFFFFFFF"/>
      <name val="Carlito"/>
    </font>
    <font>
      <b/>
      <sz val="11"/>
      <color rgb="FF0B5A3C"/>
      <name val="Carlito"/>
    </font>
    <font>
      <sz val="11"/>
      <color theme="9" tint="-0.499984740745262"/>
      <name val="Carlito"/>
    </font>
    <font>
      <b/>
      <sz val="12"/>
      <color theme="9" tint="-0.499984740745262"/>
      <name val="Carlito"/>
    </font>
    <font>
      <sz val="11"/>
      <name val="Carlito"/>
    </font>
    <font>
      <b/>
      <sz val="11"/>
      <color theme="9" tint="-0.499984740745262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5A3C"/>
      </patternFill>
    </fill>
    <fill>
      <patternFill patternType="solid">
        <fgColor rgb="FFE8F3E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Font="1" applyFill="1" applyBorder="1" applyAlignment="1">
      <alignment horizontal="center" vertical="center"/>
    </xf>
    <xf numFmtId="167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3" fillId="4" borderId="0" xfId="0" applyFont="1" applyFill="1"/>
    <xf numFmtId="169" fontId="3" fillId="4" borderId="0" xfId="0" applyNumberFormat="1" applyFont="1" applyFill="1"/>
    <xf numFmtId="0" fontId="3" fillId="5" borderId="0" xfId="0" applyFont="1" applyFill="1"/>
    <xf numFmtId="169" fontId="3" fillId="5" borderId="0" xfId="0" applyNumberFormat="1" applyFont="1" applyFill="1"/>
    <xf numFmtId="10" fontId="3" fillId="4" borderId="0" xfId="1" applyNumberFormat="1" applyFont="1" applyFill="1"/>
    <xf numFmtId="1" fontId="3" fillId="4" borderId="0" xfId="1" applyNumberFormat="1" applyFont="1" applyFill="1"/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17" fontId="4" fillId="5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/>
    </xf>
    <xf numFmtId="0" fontId="2" fillId="3" borderId="0" xfId="0" applyNumberFormat="1" applyFont="1" applyFill="1" applyBorder="1" applyAlignment="1">
      <alignment wrapText="1"/>
    </xf>
    <xf numFmtId="0" fontId="3" fillId="4" borderId="0" xfId="0" applyFont="1" applyFill="1" applyProtection="1">
      <protection locked="0" hidden="1"/>
    </xf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70" fontId="6" fillId="4" borderId="0" xfId="0" applyNumberFormat="1" applyFont="1" applyFill="1" applyProtection="1">
      <protection locked="0" hidden="1"/>
    </xf>
    <xf numFmtId="9" fontId="0" fillId="0" borderId="0" xfId="0" applyNumberFormat="1"/>
    <xf numFmtId="172" fontId="0" fillId="0" borderId="0" xfId="0" applyNumberFormat="1"/>
    <xf numFmtId="0" fontId="3" fillId="4" borderId="0" xfId="0" applyFont="1" applyFill="1" applyAlignment="1"/>
    <xf numFmtId="169" fontId="3" fillId="5" borderId="0" xfId="0" applyNumberFormat="1" applyFont="1" applyFill="1" applyAlignment="1"/>
    <xf numFmtId="169" fontId="3" fillId="5" borderId="0" xfId="0" applyNumberFormat="1" applyFont="1" applyFill="1" applyAlignment="1" applyProtection="1">
      <protection hidden="1"/>
    </xf>
  </cellXfs>
  <cellStyles count="2">
    <cellStyle name="Normal" xfId="0" builtinId="0"/>
    <cellStyle name="Percent" xfId="1" builtinId="5"/>
  </cellStyles>
  <dxfs count="87">
    <dxf>
      <font>
        <color rgb="FF9C0006"/>
      </font>
    </dxf>
    <dxf>
      <font>
        <color theme="9" tint="0.39994506668294322"/>
      </font>
    </dxf>
    <dxf>
      <font>
        <color theme="9" tint="-0.24994659260841701"/>
      </font>
    </dxf>
    <dxf>
      <font>
        <color theme="6" tint="0.39994506668294322"/>
      </font>
    </dxf>
    <dxf>
      <font>
        <color rgb="FF9C0006"/>
      </font>
    </dxf>
    <dxf>
      <font>
        <color theme="9" tint="0.39994506668294322"/>
      </font>
    </dxf>
    <dxf>
      <font>
        <color theme="9" tint="-0.24994659260841701"/>
      </font>
    </dxf>
    <dxf>
      <font>
        <color theme="6" tint="0.39994506668294322"/>
      </font>
    </dxf>
    <dxf>
      <font>
        <color rgb="FF9C0006"/>
      </font>
    </dxf>
    <dxf>
      <font>
        <color theme="9" tint="0.39994506668294322"/>
      </font>
    </dxf>
    <dxf>
      <font>
        <color theme="9" tint="-0.24994659260841701"/>
      </font>
    </dxf>
    <dxf>
      <font>
        <color theme="6" tint="0.39994506668294322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font>
        <color rgb="FF9C0006"/>
      </font>
    </dxf>
    <dxf>
      <font>
        <b val="0"/>
        <i val="0"/>
        <color theme="6" tint="0.59996337778862885"/>
      </font>
    </dxf>
    <dxf>
      <font>
        <color rgb="FF00B050"/>
      </font>
    </dxf>
    <dxf>
      <numFmt numFmtId="13" formatCode="0%"/>
    </dxf>
    <dxf>
      <numFmt numFmtId="13" formatCode="0%"/>
    </dxf>
    <dxf>
      <numFmt numFmtId="13" formatCode="0%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50140397096035"/>
          <c:y val="0.1358667263637042"/>
          <c:w val="0.8293627915612144"/>
          <c:h val="0.771343833730794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1-4031-A28E-ADF256A29B0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1-4031-A28E-ADF256A29B0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1-4031-A28E-ADF256A29B07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1-4031-A28E-ADF256A29B07}"/>
              </c:ext>
            </c:extLst>
          </c:dPt>
          <c:val>
            <c:numRef>
              <c:f>Dashbourd!$AO$12:$AO$15</c:f>
              <c:numCache>
                <c:formatCode>General</c:formatCode>
                <c:ptCount val="4"/>
                <c:pt idx="0">
                  <c:v>192170</c:v>
                </c:pt>
                <c:pt idx="1">
                  <c:v>166970</c:v>
                </c:pt>
                <c:pt idx="2">
                  <c:v>182810</c:v>
                </c:pt>
                <c:pt idx="3">
                  <c:v>114830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1-4031-A28E-ADF256A29B0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780719"/>
        <c:axId val="1188778799"/>
      </c:barChart>
      <c:catAx>
        <c:axId val="1188780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188778799"/>
        <c:crosses val="autoZero"/>
        <c:auto val="1"/>
        <c:lblAlgn val="ctr"/>
        <c:lblOffset val="100"/>
        <c:noMultiLvlLbl val="0"/>
      </c:catAx>
      <c:valAx>
        <c:axId val="1188778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878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(1).xlsx]Calculations!PivotTable1</c:name>
    <c:fmtId val="23"/>
  </c:pivotSource>
  <c:chart>
    <c:autoTitleDeleted val="1"/>
    <c:pivotFmts>
      <c:pivotFmt>
        <c:idx val="0"/>
        <c:spPr>
          <a:gradFill flip="none" rotWithShape="1">
            <a:gsLst>
              <a:gs pos="63000">
                <a:schemeClr val="bg1"/>
              </a:gs>
              <a:gs pos="4000">
                <a:schemeClr val="accent6">
                  <a:lumMod val="45000"/>
                  <a:lumOff val="55000"/>
                </a:schemeClr>
              </a:gs>
              <a:gs pos="30000">
                <a:srgbClr val="92D050"/>
              </a:gs>
            </a:gsLst>
            <a:lin ang="5400000" scaled="1"/>
            <a:tileRect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127000">
              <a:schemeClr val="bg2"/>
            </a:glow>
            <a:outerShdw blurRad="50800" dist="50800" dir="5400000" algn="ctr" rotWithShape="0">
              <a:schemeClr val="bg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63000">
                <a:schemeClr val="bg1"/>
              </a:gs>
              <a:gs pos="4000">
                <a:schemeClr val="accent6">
                  <a:lumMod val="45000"/>
                  <a:lumOff val="55000"/>
                </a:schemeClr>
              </a:gs>
              <a:gs pos="30000">
                <a:srgbClr val="92D050"/>
              </a:gs>
            </a:gsLst>
            <a:lin ang="5400000" scaled="1"/>
            <a:tileRect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127000">
              <a:schemeClr val="bg2"/>
            </a:glow>
            <a:outerShdw blurRad="50800" dist="50800" dir="5400000" algn="ctr" rotWithShape="0">
              <a:schemeClr val="bg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63000">
                <a:schemeClr val="bg1"/>
              </a:gs>
              <a:gs pos="4000">
                <a:schemeClr val="accent6">
                  <a:lumMod val="45000"/>
                  <a:lumOff val="55000"/>
                </a:schemeClr>
              </a:gs>
              <a:gs pos="30000">
                <a:srgbClr val="92D050"/>
              </a:gs>
            </a:gsLst>
            <a:lin ang="5400000" scaled="1"/>
            <a:tileRect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127000">
              <a:schemeClr val="bg2"/>
            </a:glow>
            <a:outerShdw blurRad="50800" dist="50800" dir="5400000" algn="ctr" rotWithShape="0">
              <a:schemeClr val="bg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476732343720664E-3"/>
          <c:y val="7.1197411003236247E-2"/>
          <c:w val="0.98044143543147155"/>
          <c:h val="0.67057258619371607"/>
        </c:manualLayout>
      </c:layout>
      <c:areaChart>
        <c:grouping val="stacked"/>
        <c:varyColors val="0"/>
        <c:ser>
          <c:idx val="0"/>
          <c:order val="0"/>
          <c:tx>
            <c:strRef>
              <c:f>Calculations!$L$9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63000">
                  <a:schemeClr val="bg1"/>
                </a:gs>
                <a:gs pos="4000">
                  <a:schemeClr val="accent6">
                    <a:lumMod val="45000"/>
                    <a:lumOff val="55000"/>
                  </a:schemeClr>
                </a:gs>
                <a:gs pos="30000">
                  <a:srgbClr val="92D050"/>
                </a:gs>
              </a:gsLst>
              <a:lin ang="5400000" scaled="1"/>
              <a:tileRect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27000">
                <a:schemeClr val="bg2"/>
              </a:glow>
              <a:outerShdw blurRad="50800" dist="50800" dir="5400000" algn="ctr" rotWithShape="0">
                <a:schemeClr val="bg2"/>
              </a:outerShdw>
              <a:softEdge rad="0"/>
            </a:effectLst>
          </c:spPr>
          <c:cat>
            <c:multiLvlStrRef>
              <c:f>Calculations!$K$10:$K$45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Calculations!$L$10:$L$45</c:f>
              <c:numCache>
                <c:formatCode>_(* #,##0_);_(* \(#,##0\);_(* "-"??_);_(@_)</c:formatCode>
                <c:ptCount val="32"/>
                <c:pt idx="0">
                  <c:v>559290</c:v>
                </c:pt>
                <c:pt idx="1">
                  <c:v>676330</c:v>
                </c:pt>
                <c:pt idx="2">
                  <c:v>602060</c:v>
                </c:pt>
                <c:pt idx="3">
                  <c:v>814760</c:v>
                </c:pt>
                <c:pt idx="4">
                  <c:v>853160</c:v>
                </c:pt>
                <c:pt idx="5">
                  <c:v>494850</c:v>
                </c:pt>
                <c:pt idx="6">
                  <c:v>618340</c:v>
                </c:pt>
                <c:pt idx="7">
                  <c:v>551640</c:v>
                </c:pt>
                <c:pt idx="8">
                  <c:v>615780</c:v>
                </c:pt>
                <c:pt idx="9">
                  <c:v>680350</c:v>
                </c:pt>
                <c:pt idx="10">
                  <c:v>602040</c:v>
                </c:pt>
                <c:pt idx="11">
                  <c:v>434950</c:v>
                </c:pt>
                <c:pt idx="12">
                  <c:v>731640</c:v>
                </c:pt>
                <c:pt idx="13">
                  <c:v>754780</c:v>
                </c:pt>
                <c:pt idx="14">
                  <c:v>724900</c:v>
                </c:pt>
                <c:pt idx="15">
                  <c:v>815090</c:v>
                </c:pt>
                <c:pt idx="16">
                  <c:v>713690</c:v>
                </c:pt>
                <c:pt idx="17">
                  <c:v>544910</c:v>
                </c:pt>
                <c:pt idx="18">
                  <c:v>702320</c:v>
                </c:pt>
                <c:pt idx="19">
                  <c:v>701010</c:v>
                </c:pt>
                <c:pt idx="20">
                  <c:v>604660</c:v>
                </c:pt>
                <c:pt idx="21">
                  <c:v>1017760</c:v>
                </c:pt>
                <c:pt idx="22">
                  <c:v>569770</c:v>
                </c:pt>
                <c:pt idx="23">
                  <c:v>586580</c:v>
                </c:pt>
                <c:pt idx="24">
                  <c:v>639750</c:v>
                </c:pt>
                <c:pt idx="25">
                  <c:v>702330</c:v>
                </c:pt>
                <c:pt idx="26">
                  <c:v>631570</c:v>
                </c:pt>
                <c:pt idx="27">
                  <c:v>476570</c:v>
                </c:pt>
                <c:pt idx="28">
                  <c:v>557230</c:v>
                </c:pt>
                <c:pt idx="29">
                  <c:v>650510</c:v>
                </c:pt>
                <c:pt idx="30">
                  <c:v>493830</c:v>
                </c:pt>
                <c:pt idx="31">
                  <c:v>527420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B-4D67-83A8-65176DE8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084831"/>
        <c:axId val="1002080991"/>
      </c:areaChart>
      <c:catAx>
        <c:axId val="100208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80991"/>
        <c:crosses val="autoZero"/>
        <c:auto val="1"/>
        <c:lblAlgn val="ctr"/>
        <c:lblOffset val="100"/>
        <c:noMultiLvlLbl val="0"/>
      </c:catAx>
      <c:valAx>
        <c:axId val="100208099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0208483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(1).xlsx]Calculations!PivotTable2</c:name>
    <c:fmtId val="3"/>
  </c:pivotSource>
  <c:chart>
    <c:autoTitleDeleted val="1"/>
    <c:pivotFmts>
      <c:pivotFmt>
        <c:idx val="0"/>
        <c:spPr>
          <a:gradFill flip="none" rotWithShape="1"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Calculations!$X$11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7000">
                  <a:schemeClr val="accent6">
                    <a:lumMod val="0"/>
                    <a:lumOff val="100000"/>
                  </a:schemeClr>
                </a:gs>
                <a:gs pos="43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Calculations!$W$12:$W$18</c:f>
              <c:strCache>
                <c:ptCount val="6"/>
                <c:pt idx="0">
                  <c:v>Nour Mohamed</c:v>
                </c:pt>
                <c:pt idx="1">
                  <c:v>Ahmed Hassan</c:v>
                </c:pt>
                <c:pt idx="2">
                  <c:v>Mariam Adel</c:v>
                </c:pt>
                <c:pt idx="3">
                  <c:v>Sara Ali</c:v>
                </c:pt>
                <c:pt idx="4">
                  <c:v>Youssef Ibrahim</c:v>
                </c:pt>
                <c:pt idx="5">
                  <c:v>Omar Khaled</c:v>
                </c:pt>
              </c:strCache>
            </c:strRef>
          </c:cat>
          <c:val>
            <c:numRef>
              <c:f>Calculations!$X$12:$X$18</c:f>
              <c:numCache>
                <c:formatCode>0%</c:formatCode>
                <c:ptCount val="6"/>
                <c:pt idx="0">
                  <c:v>1.015162292026345</c:v>
                </c:pt>
                <c:pt idx="1">
                  <c:v>0.99739131938384118</c:v>
                </c:pt>
                <c:pt idx="2">
                  <c:v>0.98379306913689346</c:v>
                </c:pt>
                <c:pt idx="3">
                  <c:v>0.96370162637689671</c:v>
                </c:pt>
                <c:pt idx="4">
                  <c:v>0.95848739254511328</c:v>
                </c:pt>
                <c:pt idx="5">
                  <c:v>0.92708587575896728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C-46F4-B7BC-45C8BE59C9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4316319"/>
        <c:axId val="1424333119"/>
      </c:barChart>
      <c:catAx>
        <c:axId val="142431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33119"/>
        <c:crosses val="autoZero"/>
        <c:auto val="1"/>
        <c:lblAlgn val="ctr"/>
        <c:lblOffset val="100"/>
        <c:noMultiLvlLbl val="0"/>
      </c:catAx>
      <c:valAx>
        <c:axId val="142433311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243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(1).xlsx]Calculations!PivotTable3</c:name>
    <c:fmtId val="16"/>
  </c:pivotSource>
  <c:chart>
    <c:autoTitleDeleted val="1"/>
    <c:pivotFmts>
      <c:pivotFmt>
        <c:idx val="0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136920384951885E-2"/>
          <c:y val="5.0925925925925923E-2"/>
          <c:w val="0.94908530183727036"/>
          <c:h val="0.785352669834791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Calculations!$AG$13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000">
                  <a:schemeClr val="accent6">
                    <a:lumMod val="0"/>
                    <a:lumOff val="100000"/>
                  </a:schemeClr>
                </a:gs>
                <a:gs pos="43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Calculations!$AF$14:$AF$17</c:f>
              <c:strCache>
                <c:ptCount val="3"/>
                <c:pt idx="0">
                  <c:v>Customer Experience</c:v>
                </c:pt>
                <c:pt idx="1">
                  <c:v>Operations</c:v>
                </c:pt>
                <c:pt idx="2">
                  <c:v>Sales</c:v>
                </c:pt>
              </c:strCache>
            </c:strRef>
          </c:cat>
          <c:val>
            <c:numRef>
              <c:f>Calculations!$AG$14:$AG$17</c:f>
              <c:numCache>
                <c:formatCode>_(* #,##0_);_(* \(#,##0\);_(* "-"??_);_(@_)</c:formatCode>
                <c:ptCount val="3"/>
                <c:pt idx="0">
                  <c:v>6701760</c:v>
                </c:pt>
                <c:pt idx="1">
                  <c:v>5672850</c:v>
                </c:pt>
                <c:pt idx="2">
                  <c:v>8275260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3-4174-BA35-1893127DD1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8776879"/>
        <c:axId val="1188785039"/>
      </c:barChart>
      <c:catAx>
        <c:axId val="11887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85039"/>
        <c:crosses val="autoZero"/>
        <c:auto val="1"/>
        <c:lblAlgn val="ctr"/>
        <c:lblOffset val="100"/>
        <c:noMultiLvlLbl val="0"/>
      </c:catAx>
      <c:valAx>
        <c:axId val="1188785039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18877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[Employee_Performance_Dashboard_Data_1000_Rows (1).xlsx]Calculations!PivotTable4</c:name>
    <c:fmtId val="6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Calculations!$AN$8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24-4732-826D-1D32D953200C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24-4732-826D-1D32D953200C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24-4732-826D-1D32D953200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Calculations!$AM$9:$AM$12</c:f>
              <c:strCache>
                <c:ptCount val="3"/>
                <c:pt idx="0">
                  <c:v>Abu Dhabi</c:v>
                </c:pt>
                <c:pt idx="1">
                  <c:v>Dubai</c:v>
                </c:pt>
                <c:pt idx="2">
                  <c:v>Sharjah</c:v>
                </c:pt>
              </c:strCache>
            </c:strRef>
          </c:cat>
          <c:val>
            <c:numRef>
              <c:f>Calculations!$AN$9:$AN$12</c:f>
              <c:numCache>
                <c:formatCode>General</c:formatCode>
                <c:ptCount val="3"/>
                <c:pt idx="0">
                  <c:v>7507860</c:v>
                </c:pt>
                <c:pt idx="1">
                  <c:v>10094210</c:v>
                </c:pt>
                <c:pt idx="2">
                  <c:v>3047800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24-4732-826D-1D32D9532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(1).xlsx]Calculations!PivotTable5</c:name>
    <c:fmtId val="6"/>
  </c:pivotSource>
  <c:chart>
    <c:autoTitleDeleted val="1"/>
    <c:pivotFmts>
      <c:pivotFmt>
        <c:idx val="0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528492807742596E-2"/>
          <c:y val="0.34360546536573566"/>
          <c:w val="0.93590322600696652"/>
          <c:h val="0.36431222986087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Calculations!$AZ$15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000">
                  <a:schemeClr val="accent6">
                    <a:lumMod val="0"/>
                    <a:lumOff val="100000"/>
                  </a:schemeClr>
                </a:gs>
                <a:gs pos="43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cat>
            <c:strRef>
              <c:f>Calculations!$AY$16:$AY$22</c:f>
              <c:strCache>
                <c:ptCount val="6"/>
                <c:pt idx="0">
                  <c:v>Ahmed Hassan</c:v>
                </c:pt>
                <c:pt idx="1">
                  <c:v>Mariam Adel</c:v>
                </c:pt>
                <c:pt idx="2">
                  <c:v>Nour Mohamed</c:v>
                </c:pt>
                <c:pt idx="3">
                  <c:v>Omar Khaled</c:v>
                </c:pt>
                <c:pt idx="4">
                  <c:v>Sara Ali</c:v>
                </c:pt>
                <c:pt idx="5">
                  <c:v>Youssef Ibrahim</c:v>
                </c:pt>
              </c:strCache>
            </c:strRef>
          </c:cat>
          <c:val>
            <c:numRef>
              <c:f>Calculations!$AZ$16:$AZ$22</c:f>
              <c:numCache>
                <c:formatCode>0%</c:formatCode>
                <c:ptCount val="6"/>
                <c:pt idx="0">
                  <c:v>0.99739131938384118</c:v>
                </c:pt>
                <c:pt idx="1">
                  <c:v>0.98379306913689346</c:v>
                </c:pt>
                <c:pt idx="2">
                  <c:v>1.015162292026345</c:v>
                </c:pt>
                <c:pt idx="3">
                  <c:v>0.92708587575896728</c:v>
                </c:pt>
                <c:pt idx="4">
                  <c:v>0.96370162637689671</c:v>
                </c:pt>
                <c:pt idx="5">
                  <c:v>0.95848739254511328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D-44D0-9D98-3FDD5A36A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35679"/>
        <c:axId val="1002034239"/>
      </c:barChart>
      <c:catAx>
        <c:axId val="100203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34239"/>
        <c:crosses val="autoZero"/>
        <c:auto val="1"/>
        <c:lblAlgn val="ctr"/>
        <c:lblOffset val="100"/>
        <c:noMultiLvlLbl val="0"/>
      </c:catAx>
      <c:valAx>
        <c:axId val="100203423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3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(1).xlsx]Calculations!PivotTable1</c:name>
    <c:fmtId val="7"/>
  </c:pivotSource>
  <c:chart>
    <c:autoTitleDeleted val="1"/>
    <c:pivotFmts>
      <c:pivotFmt>
        <c:idx val="0"/>
        <c:spPr>
          <a:gradFill flip="none" rotWithShape="1">
            <a:gsLst>
              <a:gs pos="63000">
                <a:schemeClr val="bg1"/>
              </a:gs>
              <a:gs pos="4000">
                <a:schemeClr val="accent6">
                  <a:lumMod val="45000"/>
                  <a:lumOff val="55000"/>
                </a:schemeClr>
              </a:gs>
              <a:gs pos="30000">
                <a:srgbClr val="92D050"/>
              </a:gs>
            </a:gsLst>
            <a:lin ang="5400000" scaled="1"/>
            <a:tileRect/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>
            <a:glow rad="127000">
              <a:schemeClr val="bg2"/>
            </a:glow>
            <a:outerShdw blurRad="50800" dist="50800" dir="5400000" algn="ctr" rotWithShape="0">
              <a:schemeClr val="bg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128390201224846E-2"/>
          <c:y val="7.1197411003236247E-2"/>
          <c:w val="0.93753827646544186"/>
          <c:h val="0.67057258619371607"/>
        </c:manualLayout>
      </c:layout>
      <c:areaChart>
        <c:grouping val="stacked"/>
        <c:varyColors val="0"/>
        <c:ser>
          <c:idx val="0"/>
          <c:order val="0"/>
          <c:tx>
            <c:strRef>
              <c:f>Calculations!$L$9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63000">
                  <a:schemeClr val="bg1"/>
                </a:gs>
                <a:gs pos="4000">
                  <a:schemeClr val="accent6">
                    <a:lumMod val="45000"/>
                    <a:lumOff val="55000"/>
                  </a:schemeClr>
                </a:gs>
                <a:gs pos="30000">
                  <a:srgbClr val="92D050"/>
                </a:gs>
              </a:gsLst>
              <a:lin ang="5400000" scaled="1"/>
              <a:tileRect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27000">
                <a:schemeClr val="bg2"/>
              </a:glow>
              <a:outerShdw blurRad="50800" dist="50800" dir="5400000" algn="ctr" rotWithShape="0">
                <a:schemeClr val="bg2"/>
              </a:outerShdw>
              <a:softEdge rad="0"/>
            </a:effectLst>
          </c:spPr>
          <c:cat>
            <c:multiLvlStrRef>
              <c:f>Calculations!$K$10:$K$45</c:f>
              <c:multiLvlStrCache>
                <c:ptCount val="3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Calculations!$L$10:$L$45</c:f>
              <c:numCache>
                <c:formatCode>_(* #,##0_);_(* \(#,##0\);_(* "-"??_);_(@_)</c:formatCode>
                <c:ptCount val="32"/>
                <c:pt idx="0">
                  <c:v>559290</c:v>
                </c:pt>
                <c:pt idx="1">
                  <c:v>676330</c:v>
                </c:pt>
                <c:pt idx="2">
                  <c:v>602060</c:v>
                </c:pt>
                <c:pt idx="3">
                  <c:v>814760</c:v>
                </c:pt>
                <c:pt idx="4">
                  <c:v>853160</c:v>
                </c:pt>
                <c:pt idx="5">
                  <c:v>494850</c:v>
                </c:pt>
                <c:pt idx="6">
                  <c:v>618340</c:v>
                </c:pt>
                <c:pt idx="7">
                  <c:v>551640</c:v>
                </c:pt>
                <c:pt idx="8">
                  <c:v>615780</c:v>
                </c:pt>
                <c:pt idx="9">
                  <c:v>680350</c:v>
                </c:pt>
                <c:pt idx="10">
                  <c:v>602040</c:v>
                </c:pt>
                <c:pt idx="11">
                  <c:v>434950</c:v>
                </c:pt>
                <c:pt idx="12">
                  <c:v>731640</c:v>
                </c:pt>
                <c:pt idx="13">
                  <c:v>754780</c:v>
                </c:pt>
                <c:pt idx="14">
                  <c:v>724900</c:v>
                </c:pt>
                <c:pt idx="15">
                  <c:v>815090</c:v>
                </c:pt>
                <c:pt idx="16">
                  <c:v>713690</c:v>
                </c:pt>
                <c:pt idx="17">
                  <c:v>544910</c:v>
                </c:pt>
                <c:pt idx="18">
                  <c:v>702320</c:v>
                </c:pt>
                <c:pt idx="19">
                  <c:v>701010</c:v>
                </c:pt>
                <c:pt idx="20">
                  <c:v>604660</c:v>
                </c:pt>
                <c:pt idx="21">
                  <c:v>1017760</c:v>
                </c:pt>
                <c:pt idx="22">
                  <c:v>569770</c:v>
                </c:pt>
                <c:pt idx="23">
                  <c:v>586580</c:v>
                </c:pt>
                <c:pt idx="24">
                  <c:v>639750</c:v>
                </c:pt>
                <c:pt idx="25">
                  <c:v>702330</c:v>
                </c:pt>
                <c:pt idx="26">
                  <c:v>631570</c:v>
                </c:pt>
                <c:pt idx="27">
                  <c:v>476570</c:v>
                </c:pt>
                <c:pt idx="28">
                  <c:v>557230</c:v>
                </c:pt>
                <c:pt idx="29">
                  <c:v>650510</c:v>
                </c:pt>
                <c:pt idx="30">
                  <c:v>493830</c:v>
                </c:pt>
                <c:pt idx="31">
                  <c:v>527420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6-4C28-9504-FE169BE58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084831"/>
        <c:axId val="1002080991"/>
      </c:areaChart>
      <c:catAx>
        <c:axId val="1002084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80991"/>
        <c:crosses val="autoZero"/>
        <c:auto val="1"/>
        <c:lblAlgn val="ctr"/>
        <c:lblOffset val="100"/>
        <c:noMultiLvlLbl val="0"/>
      </c:catAx>
      <c:valAx>
        <c:axId val="100208099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0208483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(1).xlsx]Calculations!PivotTable2</c:name>
    <c:fmtId val="1"/>
  </c:pivotSource>
  <c:chart>
    <c:autoTitleDeleted val="1"/>
    <c:pivotFmts>
      <c:pivotFmt>
        <c:idx val="0"/>
        <c:spPr>
          <a:gradFill flip="none" rotWithShape="1"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Calculations!$X$11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7000">
                  <a:schemeClr val="accent6">
                    <a:lumMod val="0"/>
                    <a:lumOff val="100000"/>
                  </a:schemeClr>
                </a:gs>
                <a:gs pos="43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Calculations!$W$12:$W$18</c:f>
              <c:strCache>
                <c:ptCount val="6"/>
                <c:pt idx="0">
                  <c:v>Nour Mohamed</c:v>
                </c:pt>
                <c:pt idx="1">
                  <c:v>Ahmed Hassan</c:v>
                </c:pt>
                <c:pt idx="2">
                  <c:v>Mariam Adel</c:v>
                </c:pt>
                <c:pt idx="3">
                  <c:v>Sara Ali</c:v>
                </c:pt>
                <c:pt idx="4">
                  <c:v>Youssef Ibrahim</c:v>
                </c:pt>
                <c:pt idx="5">
                  <c:v>Omar Khaled</c:v>
                </c:pt>
              </c:strCache>
            </c:strRef>
          </c:cat>
          <c:val>
            <c:numRef>
              <c:f>Calculations!$X$12:$X$18</c:f>
              <c:numCache>
                <c:formatCode>0%</c:formatCode>
                <c:ptCount val="6"/>
                <c:pt idx="0">
                  <c:v>1.015162292026345</c:v>
                </c:pt>
                <c:pt idx="1">
                  <c:v>0.99739131938384118</c:v>
                </c:pt>
                <c:pt idx="2">
                  <c:v>0.98379306913689346</c:v>
                </c:pt>
                <c:pt idx="3">
                  <c:v>0.96370162637689671</c:v>
                </c:pt>
                <c:pt idx="4">
                  <c:v>0.95848739254511328</c:v>
                </c:pt>
                <c:pt idx="5">
                  <c:v>0.92708587575896728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F-41FD-9BD4-6BD4EE21B4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4316319"/>
        <c:axId val="1424333119"/>
      </c:barChart>
      <c:catAx>
        <c:axId val="142431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33119"/>
        <c:crosses val="autoZero"/>
        <c:auto val="1"/>
        <c:lblAlgn val="ctr"/>
        <c:lblOffset val="100"/>
        <c:noMultiLvlLbl val="0"/>
      </c:catAx>
      <c:valAx>
        <c:axId val="142433311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42431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(1).xlsx]Calculations!PivotTable3</c:name>
    <c:fmtId val="14"/>
  </c:pivotSource>
  <c:chart>
    <c:autoTitleDeleted val="1"/>
    <c:pivotFmts>
      <c:pivotFmt>
        <c:idx val="0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69247594050744"/>
          <c:y val="7.407407407407407E-2"/>
          <c:w val="0.81575196850393705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Calculations!$AG$13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000">
                  <a:schemeClr val="accent6">
                    <a:lumMod val="0"/>
                    <a:lumOff val="100000"/>
                  </a:schemeClr>
                </a:gs>
                <a:gs pos="43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Calculations!$AF$14:$AF$17</c:f>
              <c:strCache>
                <c:ptCount val="3"/>
                <c:pt idx="0">
                  <c:v>Customer Experience</c:v>
                </c:pt>
                <c:pt idx="1">
                  <c:v>Operations</c:v>
                </c:pt>
                <c:pt idx="2">
                  <c:v>Sales</c:v>
                </c:pt>
              </c:strCache>
            </c:strRef>
          </c:cat>
          <c:val>
            <c:numRef>
              <c:f>Calculations!$AG$14:$AG$17</c:f>
              <c:numCache>
                <c:formatCode>_(* #,##0_);_(* \(#,##0\);_(* "-"??_);_(@_)</c:formatCode>
                <c:ptCount val="3"/>
                <c:pt idx="0">
                  <c:v>6701760</c:v>
                </c:pt>
                <c:pt idx="1">
                  <c:v>5672850</c:v>
                </c:pt>
                <c:pt idx="2">
                  <c:v>8275260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D-4E25-BF9F-63D7F9DD75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8776879"/>
        <c:axId val="1188785039"/>
      </c:barChart>
      <c:catAx>
        <c:axId val="11887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85039"/>
        <c:crosses val="autoZero"/>
        <c:auto val="1"/>
        <c:lblAlgn val="ctr"/>
        <c:lblOffset val="100"/>
        <c:noMultiLvlLbl val="0"/>
      </c:catAx>
      <c:valAx>
        <c:axId val="118878503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7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[Employee_Performance_Dashboard_Data_1000_Rows (1).xlsx]Calculations!PivotTable4</c:name>
    <c:fmtId val="1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Calculations!$AN$8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Calculations!$AM$9:$AM$12</c:f>
              <c:strCache>
                <c:ptCount val="3"/>
                <c:pt idx="0">
                  <c:v>Abu Dhabi</c:v>
                </c:pt>
                <c:pt idx="1">
                  <c:v>Dubai</c:v>
                </c:pt>
                <c:pt idx="2">
                  <c:v>Sharjah</c:v>
                </c:pt>
              </c:strCache>
            </c:strRef>
          </c:cat>
          <c:val>
            <c:numRef>
              <c:f>Calculations!$AN$9:$AN$12</c:f>
              <c:numCache>
                <c:formatCode>General</c:formatCode>
                <c:ptCount val="3"/>
                <c:pt idx="0">
                  <c:v>7507860</c:v>
                </c:pt>
                <c:pt idx="1">
                  <c:v>10094210</c:v>
                </c:pt>
                <c:pt idx="2">
                  <c:v>3047800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C-45B5-91D0-D279D83E3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[Employee_Performance_Dashboard_Data_1000_Rows (1).xlsx]Calculations!PivotTable5</c:name>
    <c:fmtId val="4"/>
  </c:pivotSource>
  <c:chart>
    <c:autoTitleDeleted val="1"/>
    <c:pivotFmts>
      <c:pivotFmt>
        <c:idx val="0"/>
        <c:spPr>
          <a:gradFill>
            <a:gsLst>
              <a:gs pos="7000">
                <a:schemeClr val="accent6">
                  <a:lumMod val="0"/>
                  <a:lumOff val="100000"/>
                </a:schemeClr>
              </a:gs>
              <a:gs pos="43000">
                <a:schemeClr val="accent6">
                  <a:lumMod val="0"/>
                  <a:lumOff val="100000"/>
                </a:schemeClr>
              </a:gs>
              <a:gs pos="100000">
                <a:schemeClr val="accent6">
                  <a:lumMod val="100000"/>
                </a:schemeClr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Calculations!$AZ$15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000">
                  <a:schemeClr val="accent6">
                    <a:lumMod val="0"/>
                    <a:lumOff val="100000"/>
                  </a:schemeClr>
                </a:gs>
                <a:gs pos="43000">
                  <a:schemeClr val="accent6">
                    <a:lumMod val="0"/>
                    <a:lumOff val="100000"/>
                  </a:schemeClr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cat>
            <c:strRef>
              <c:f>Calculations!$AY$16:$AY$22</c:f>
              <c:strCache>
                <c:ptCount val="6"/>
                <c:pt idx="0">
                  <c:v>Ahmed Hassan</c:v>
                </c:pt>
                <c:pt idx="1">
                  <c:v>Mariam Adel</c:v>
                </c:pt>
                <c:pt idx="2">
                  <c:v>Nour Mohamed</c:v>
                </c:pt>
                <c:pt idx="3">
                  <c:v>Omar Khaled</c:v>
                </c:pt>
                <c:pt idx="4">
                  <c:v>Sara Ali</c:v>
                </c:pt>
                <c:pt idx="5">
                  <c:v>Youssef Ibrahim</c:v>
                </c:pt>
              </c:strCache>
            </c:strRef>
          </c:cat>
          <c:val>
            <c:numRef>
              <c:f>Calculations!$AZ$16:$AZ$22</c:f>
              <c:numCache>
                <c:formatCode>0%</c:formatCode>
                <c:ptCount val="6"/>
                <c:pt idx="0">
                  <c:v>0.99739131938384118</c:v>
                </c:pt>
                <c:pt idx="1">
                  <c:v>0.98379306913689346</c:v>
                </c:pt>
                <c:pt idx="2">
                  <c:v>1.015162292026345</c:v>
                </c:pt>
                <c:pt idx="3">
                  <c:v>0.92708587575896728</c:v>
                </c:pt>
                <c:pt idx="4">
                  <c:v>0.96370162637689671</c:v>
                </c:pt>
                <c:pt idx="5">
                  <c:v>0.95848739254511328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8-4E45-8884-09A075603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35679"/>
        <c:axId val="1002034239"/>
      </c:barChart>
      <c:catAx>
        <c:axId val="100203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34239"/>
        <c:crosses val="autoZero"/>
        <c:auto val="1"/>
        <c:lblAlgn val="ctr"/>
        <c:lblOffset val="100"/>
        <c:noMultiLvlLbl val="0"/>
      </c:catAx>
      <c:valAx>
        <c:axId val="100203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3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3.svg"/><Relationship Id="rId21" Type="http://schemas.openxmlformats.org/officeDocument/2006/relationships/image" Target="../media/image21.svg"/><Relationship Id="rId34" Type="http://schemas.openxmlformats.org/officeDocument/2006/relationships/chart" Target="../charts/chart4.xml"/><Relationship Id="rId42" Type="http://schemas.openxmlformats.org/officeDocument/2006/relationships/image" Target="../media/image36.emf"/><Relationship Id="rId47" Type="http://schemas.openxmlformats.org/officeDocument/2006/relationships/image" Target="../media/image41.emf"/><Relationship Id="rId50" Type="http://schemas.openxmlformats.org/officeDocument/2006/relationships/image" Target="../media/image44.png"/><Relationship Id="rId7" Type="http://schemas.openxmlformats.org/officeDocument/2006/relationships/image" Target="../media/image7.sv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svg"/><Relationship Id="rId11" Type="http://schemas.openxmlformats.org/officeDocument/2006/relationships/image" Target="../media/image11.emf"/><Relationship Id="rId24" Type="http://schemas.openxmlformats.org/officeDocument/2006/relationships/image" Target="../media/image24.png"/><Relationship Id="rId32" Type="http://schemas.openxmlformats.org/officeDocument/2006/relationships/chart" Target="../charts/chart2.xml"/><Relationship Id="rId37" Type="http://schemas.openxmlformats.org/officeDocument/2006/relationships/image" Target="../media/image31.svg"/><Relationship Id="rId40" Type="http://schemas.openxmlformats.org/officeDocument/2006/relationships/image" Target="../media/image34.png"/><Relationship Id="rId45" Type="http://schemas.openxmlformats.org/officeDocument/2006/relationships/image" Target="../media/image39.emf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23" Type="http://schemas.openxmlformats.org/officeDocument/2006/relationships/image" Target="../media/image23.svg"/><Relationship Id="rId28" Type="http://schemas.openxmlformats.org/officeDocument/2006/relationships/image" Target="../media/image28.png"/><Relationship Id="rId36" Type="http://schemas.openxmlformats.org/officeDocument/2006/relationships/chart" Target="../charts/chart6.xml"/><Relationship Id="rId49" Type="http://schemas.openxmlformats.org/officeDocument/2006/relationships/image" Target="../media/image43.svg"/><Relationship Id="rId10" Type="http://schemas.openxmlformats.org/officeDocument/2006/relationships/image" Target="../media/image10.svg"/><Relationship Id="rId19" Type="http://schemas.openxmlformats.org/officeDocument/2006/relationships/image" Target="../media/image19.svg"/><Relationship Id="rId31" Type="http://schemas.openxmlformats.org/officeDocument/2006/relationships/chart" Target="../charts/chart1.xml"/><Relationship Id="rId44" Type="http://schemas.openxmlformats.org/officeDocument/2006/relationships/image" Target="../media/image38.emf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svg"/><Relationship Id="rId30" Type="http://schemas.openxmlformats.org/officeDocument/2006/relationships/image" Target="../media/image30.svg"/><Relationship Id="rId35" Type="http://schemas.openxmlformats.org/officeDocument/2006/relationships/chart" Target="../charts/chart5.xml"/><Relationship Id="rId43" Type="http://schemas.openxmlformats.org/officeDocument/2006/relationships/image" Target="../media/image37.emf"/><Relationship Id="rId48" Type="http://schemas.openxmlformats.org/officeDocument/2006/relationships/image" Target="../media/image42.png"/><Relationship Id="rId8" Type="http://schemas.openxmlformats.org/officeDocument/2006/relationships/image" Target="../media/image8.emf"/><Relationship Id="rId51" Type="http://schemas.openxmlformats.org/officeDocument/2006/relationships/image" Target="../media/image45.sv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5" Type="http://schemas.openxmlformats.org/officeDocument/2006/relationships/image" Target="../media/image25.svg"/><Relationship Id="rId33" Type="http://schemas.openxmlformats.org/officeDocument/2006/relationships/chart" Target="../charts/chart3.xml"/><Relationship Id="rId38" Type="http://schemas.openxmlformats.org/officeDocument/2006/relationships/image" Target="../media/image32.png"/><Relationship Id="rId46" Type="http://schemas.openxmlformats.org/officeDocument/2006/relationships/image" Target="../media/image40.emf"/><Relationship Id="rId20" Type="http://schemas.openxmlformats.org/officeDocument/2006/relationships/image" Target="../media/image20.png"/><Relationship Id="rId41" Type="http://schemas.openxmlformats.org/officeDocument/2006/relationships/image" Target="../media/image35.sv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53.emf"/><Relationship Id="rId3" Type="http://schemas.openxmlformats.org/officeDocument/2006/relationships/image" Target="../media/image48.emf"/><Relationship Id="rId7" Type="http://schemas.openxmlformats.org/officeDocument/2006/relationships/image" Target="../media/image52.emf"/><Relationship Id="rId2" Type="http://schemas.openxmlformats.org/officeDocument/2006/relationships/image" Target="../media/image47.emf"/><Relationship Id="rId1" Type="http://schemas.openxmlformats.org/officeDocument/2006/relationships/image" Target="../media/image46.emf"/><Relationship Id="rId6" Type="http://schemas.openxmlformats.org/officeDocument/2006/relationships/image" Target="../media/image51.emf"/><Relationship Id="rId5" Type="http://schemas.openxmlformats.org/officeDocument/2006/relationships/image" Target="../media/image50.emf"/><Relationship Id="rId4" Type="http://schemas.openxmlformats.org/officeDocument/2006/relationships/image" Target="../media/image49.emf"/><Relationship Id="rId9" Type="http://schemas.openxmlformats.org/officeDocument/2006/relationships/image" Target="../media/image5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</xdr:colOff>
      <xdr:row>5</xdr:row>
      <xdr:rowOff>7620</xdr:rowOff>
    </xdr:from>
    <xdr:to>
      <xdr:col>4</xdr:col>
      <xdr:colOff>464820</xdr:colOff>
      <xdr:row>7</xdr:row>
      <xdr:rowOff>13789</xdr:rowOff>
    </xdr:to>
    <xdr:pic>
      <xdr:nvPicPr>
        <xdr:cNvPr id="3" name="Graphic 2" descr="Arrow: Rotate left with solid fill">
          <a:extLst>
            <a:ext uri="{FF2B5EF4-FFF2-40B4-BE49-F238E27FC236}">
              <a16:creationId xmlns:a16="http://schemas.microsoft.com/office/drawing/2014/main" id="{A3543586-B969-7C71-4241-DC2DF2AAF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71700" y="792480"/>
          <a:ext cx="373380" cy="312420"/>
        </a:xfrm>
        <a:prstGeom prst="rect">
          <a:avLst/>
        </a:prstGeom>
      </xdr:spPr>
    </xdr:pic>
    <xdr:clientData/>
  </xdr:twoCellAnchor>
  <xdr:oneCellAnchor>
    <xdr:from>
      <xdr:col>9</xdr:col>
      <xdr:colOff>91440</xdr:colOff>
      <xdr:row>5</xdr:row>
      <xdr:rowOff>7620</xdr:rowOff>
    </xdr:from>
    <xdr:ext cx="373380" cy="310515"/>
    <xdr:pic>
      <xdr:nvPicPr>
        <xdr:cNvPr id="5" name="Graphic 4" descr="Arrow: Rotate left with solid fill">
          <a:extLst>
            <a:ext uri="{FF2B5EF4-FFF2-40B4-BE49-F238E27FC236}">
              <a16:creationId xmlns:a16="http://schemas.microsoft.com/office/drawing/2014/main" id="{D06C6400-8F26-4CC4-A072-08830CDF9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7890" y="779145"/>
          <a:ext cx="373380" cy="310515"/>
        </a:xfrm>
        <a:prstGeom prst="rect">
          <a:avLst/>
        </a:prstGeom>
      </xdr:spPr>
    </xdr:pic>
    <xdr:clientData/>
  </xdr:oneCellAnchor>
  <xdr:oneCellAnchor>
    <xdr:from>
      <xdr:col>14</xdr:col>
      <xdr:colOff>91440</xdr:colOff>
      <xdr:row>5</xdr:row>
      <xdr:rowOff>7620</xdr:rowOff>
    </xdr:from>
    <xdr:ext cx="373380" cy="310515"/>
    <xdr:pic>
      <xdr:nvPicPr>
        <xdr:cNvPr id="7" name="Graphic 6" descr="Arrow: Rotate left with solid fill">
          <a:extLst>
            <a:ext uri="{FF2B5EF4-FFF2-40B4-BE49-F238E27FC236}">
              <a16:creationId xmlns:a16="http://schemas.microsoft.com/office/drawing/2014/main" id="{E2C32B51-A0CE-4AFC-8AC4-F4F775CF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7890" y="779145"/>
          <a:ext cx="373380" cy="310515"/>
        </a:xfrm>
        <a:prstGeom prst="rect">
          <a:avLst/>
        </a:prstGeom>
      </xdr:spPr>
    </xdr:pic>
    <xdr:clientData/>
  </xdr:oneCellAnchor>
  <xdr:oneCellAnchor>
    <xdr:from>
      <xdr:col>19</xdr:col>
      <xdr:colOff>91440</xdr:colOff>
      <xdr:row>5</xdr:row>
      <xdr:rowOff>7620</xdr:rowOff>
    </xdr:from>
    <xdr:ext cx="373380" cy="310515"/>
    <xdr:pic>
      <xdr:nvPicPr>
        <xdr:cNvPr id="9" name="Graphic 8" descr="Arrow: Rotate left with solid fill">
          <a:extLst>
            <a:ext uri="{FF2B5EF4-FFF2-40B4-BE49-F238E27FC236}">
              <a16:creationId xmlns:a16="http://schemas.microsoft.com/office/drawing/2014/main" id="{B9DDE13C-DC39-4AAF-ADAF-2C7867C3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7890" y="779145"/>
          <a:ext cx="373380" cy="310515"/>
        </a:xfrm>
        <a:prstGeom prst="rect">
          <a:avLst/>
        </a:prstGeom>
      </xdr:spPr>
    </xdr:pic>
    <xdr:clientData/>
  </xdr:oneCellAnchor>
  <xdr:oneCellAnchor>
    <xdr:from>
      <xdr:col>24</xdr:col>
      <xdr:colOff>91440</xdr:colOff>
      <xdr:row>5</xdr:row>
      <xdr:rowOff>7620</xdr:rowOff>
    </xdr:from>
    <xdr:ext cx="373380" cy="310515"/>
    <xdr:pic>
      <xdr:nvPicPr>
        <xdr:cNvPr id="11" name="Graphic 10" descr="Arrow: Rotate left with solid fill">
          <a:extLst>
            <a:ext uri="{FF2B5EF4-FFF2-40B4-BE49-F238E27FC236}">
              <a16:creationId xmlns:a16="http://schemas.microsoft.com/office/drawing/2014/main" id="{7C36E4E9-DE6D-4A7A-B9E0-356F80127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7890" y="779145"/>
          <a:ext cx="373380" cy="310515"/>
        </a:xfrm>
        <a:prstGeom prst="rect">
          <a:avLst/>
        </a:prstGeom>
      </xdr:spPr>
    </xdr:pic>
    <xdr:clientData/>
  </xdr:oneCellAnchor>
  <xdr:twoCellAnchor>
    <xdr:from>
      <xdr:col>1</xdr:col>
      <xdr:colOff>665842</xdr:colOff>
      <xdr:row>5</xdr:row>
      <xdr:rowOff>8618</xdr:rowOff>
    </xdr:from>
    <xdr:to>
      <xdr:col>4</xdr:col>
      <xdr:colOff>494392</xdr:colOff>
      <xdr:row>6</xdr:row>
      <xdr:rowOff>141515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5FDDE6C-60D0-F39B-94B2-86F88BF79E41}"/>
            </a:ext>
          </a:extLst>
        </xdr:cNvPr>
        <xdr:cNvSpPr/>
      </xdr:nvSpPr>
      <xdr:spPr>
        <a:xfrm>
          <a:off x="747485" y="788761"/>
          <a:ext cx="2060121" cy="296183"/>
        </a:xfrm>
        <a:prstGeom prst="round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657224</xdr:colOff>
      <xdr:row>5</xdr:row>
      <xdr:rowOff>0</xdr:rowOff>
    </xdr:from>
    <xdr:to>
      <xdr:col>9</xdr:col>
      <xdr:colOff>485774</xdr:colOff>
      <xdr:row>6</xdr:row>
      <xdr:rowOff>114300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4722B6F-D5B0-3568-CB3C-B8BCD4B2A8E9}"/>
            </a:ext>
          </a:extLst>
        </xdr:cNvPr>
        <xdr:cNvSpPr/>
      </xdr:nvSpPr>
      <xdr:spPr>
        <a:xfrm>
          <a:off x="3400424" y="771525"/>
          <a:ext cx="1819275" cy="276225"/>
        </a:xfrm>
        <a:prstGeom prst="round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9524</xdr:colOff>
      <xdr:row>5</xdr:row>
      <xdr:rowOff>19051</xdr:rowOff>
    </xdr:from>
    <xdr:to>
      <xdr:col>14</xdr:col>
      <xdr:colOff>495299</xdr:colOff>
      <xdr:row>6</xdr:row>
      <xdr:rowOff>104776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41219B4-114D-6AD9-EBA2-4BE9B69F9097}"/>
            </a:ext>
          </a:extLst>
        </xdr:cNvPr>
        <xdr:cNvSpPr/>
      </xdr:nvSpPr>
      <xdr:spPr>
        <a:xfrm>
          <a:off x="6048374" y="790576"/>
          <a:ext cx="1819275" cy="247650"/>
        </a:xfrm>
        <a:prstGeom prst="roundRect">
          <a:avLst>
            <a:gd name="adj" fmla="val 16667"/>
          </a:avLst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647700</xdr:colOff>
      <xdr:row>4</xdr:row>
      <xdr:rowOff>171450</xdr:rowOff>
    </xdr:from>
    <xdr:to>
      <xdr:col>19</xdr:col>
      <xdr:colOff>485776</xdr:colOff>
      <xdr:row>6</xdr:row>
      <xdr:rowOff>114300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B61106E-1E4C-0B6D-5C22-DF1AE6FE7472}"/>
            </a:ext>
          </a:extLst>
        </xdr:cNvPr>
        <xdr:cNvSpPr/>
      </xdr:nvSpPr>
      <xdr:spPr>
        <a:xfrm>
          <a:off x="8658225" y="742950"/>
          <a:ext cx="1828801" cy="304800"/>
        </a:xfrm>
        <a:prstGeom prst="roundRect">
          <a:avLst>
            <a:gd name="adj" fmla="val 15860"/>
          </a:avLst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638174</xdr:colOff>
      <xdr:row>5</xdr:row>
      <xdr:rowOff>19050</xdr:rowOff>
    </xdr:from>
    <xdr:to>
      <xdr:col>24</xdr:col>
      <xdr:colOff>485774</xdr:colOff>
      <xdr:row>6</xdr:row>
      <xdr:rowOff>104775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1232B1C-1FE5-ED96-4FC0-321AEA8DC7DC}"/>
            </a:ext>
          </a:extLst>
        </xdr:cNvPr>
        <xdr:cNvSpPr/>
      </xdr:nvSpPr>
      <xdr:spPr>
        <a:xfrm>
          <a:off x="11287124" y="790575"/>
          <a:ext cx="1838325" cy="247650"/>
        </a:xfrm>
        <a:prstGeom prst="roundRect">
          <a:avLst/>
        </a:prstGeom>
        <a:noFill/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81642</xdr:colOff>
      <xdr:row>13</xdr:row>
      <xdr:rowOff>145142</xdr:rowOff>
    </xdr:from>
    <xdr:to>
      <xdr:col>11</xdr:col>
      <xdr:colOff>136071</xdr:colOff>
      <xdr:row>24</xdr:row>
      <xdr:rowOff>18144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7C05B1C-BB3F-2C5B-1BC2-04B4803CE2B5}"/>
            </a:ext>
          </a:extLst>
        </xdr:cNvPr>
        <xdr:cNvSpPr/>
      </xdr:nvSpPr>
      <xdr:spPr>
        <a:xfrm>
          <a:off x="81642" y="2295071"/>
          <a:ext cx="5687786" cy="17689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335643</xdr:colOff>
      <xdr:row>13</xdr:row>
      <xdr:rowOff>163284</xdr:rowOff>
    </xdr:from>
    <xdr:to>
      <xdr:col>21</xdr:col>
      <xdr:colOff>517072</xdr:colOff>
      <xdr:row>24</xdr:row>
      <xdr:rowOff>36286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495491C-55A4-7FB4-7D9A-C3EF57EB725B}"/>
            </a:ext>
          </a:extLst>
        </xdr:cNvPr>
        <xdr:cNvSpPr/>
      </xdr:nvSpPr>
      <xdr:spPr>
        <a:xfrm>
          <a:off x="5969000" y="2313213"/>
          <a:ext cx="5451929" cy="17689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644073</xdr:colOff>
      <xdr:row>13</xdr:row>
      <xdr:rowOff>163283</xdr:rowOff>
    </xdr:from>
    <xdr:to>
      <xdr:col>30</xdr:col>
      <xdr:colOff>616857</xdr:colOff>
      <xdr:row>24</xdr:row>
      <xdr:rowOff>36285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4927BAC-DAEA-30DD-E11E-7D300D3242BD}"/>
            </a:ext>
          </a:extLst>
        </xdr:cNvPr>
        <xdr:cNvSpPr/>
      </xdr:nvSpPr>
      <xdr:spPr>
        <a:xfrm>
          <a:off x="11602359" y="2313212"/>
          <a:ext cx="5306784" cy="17689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9070</xdr:colOff>
      <xdr:row>24</xdr:row>
      <xdr:rowOff>108859</xdr:rowOff>
    </xdr:from>
    <xdr:to>
      <xdr:col>12</xdr:col>
      <xdr:colOff>54428</xdr:colOff>
      <xdr:row>36</xdr:row>
      <xdr:rowOff>72571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1A74AB6-E1FE-D23C-EC0C-0DAB47D13902}"/>
            </a:ext>
          </a:extLst>
        </xdr:cNvPr>
        <xdr:cNvSpPr/>
      </xdr:nvSpPr>
      <xdr:spPr>
        <a:xfrm>
          <a:off x="90713" y="4154716"/>
          <a:ext cx="6250215" cy="203199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136072</xdr:colOff>
      <xdr:row>24</xdr:row>
      <xdr:rowOff>117930</xdr:rowOff>
    </xdr:from>
    <xdr:to>
      <xdr:col>30</xdr:col>
      <xdr:colOff>635000</xdr:colOff>
      <xdr:row>36</xdr:row>
      <xdr:rowOff>81642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2C4B5F0-94FB-38BF-2252-AAC726571775}"/>
            </a:ext>
          </a:extLst>
        </xdr:cNvPr>
        <xdr:cNvSpPr/>
      </xdr:nvSpPr>
      <xdr:spPr>
        <a:xfrm>
          <a:off x="6477001" y="4163787"/>
          <a:ext cx="10450285" cy="203199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598715</xdr:colOff>
      <xdr:row>18</xdr:row>
      <xdr:rowOff>163287</xdr:rowOff>
    </xdr:from>
    <xdr:to>
      <xdr:col>43</xdr:col>
      <xdr:colOff>163286</xdr:colOff>
      <xdr:row>21</xdr:row>
      <xdr:rowOff>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7BEEA65-F607-5371-D85B-7E8F97BD23D9}"/>
            </a:ext>
          </a:extLst>
        </xdr:cNvPr>
        <xdr:cNvSpPr txBox="1"/>
      </xdr:nvSpPr>
      <xdr:spPr>
        <a:xfrm>
          <a:off x="24574501" y="3175001"/>
          <a:ext cx="272142" cy="3537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2000"/>
        </a:p>
      </xdr:txBody>
    </xdr:sp>
    <xdr:clientData/>
  </xdr:twoCellAnchor>
  <xdr:oneCellAnchor>
    <xdr:from>
      <xdr:col>48</xdr:col>
      <xdr:colOff>489857</xdr:colOff>
      <xdr:row>9</xdr:row>
      <xdr:rowOff>127000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D56911D-BE3F-F784-9EBB-767548E68E2D}"/>
            </a:ext>
          </a:extLst>
        </xdr:cNvPr>
        <xdr:cNvSpPr txBox="1"/>
      </xdr:nvSpPr>
      <xdr:spPr>
        <a:xfrm>
          <a:off x="5470071" y="1279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72571</xdr:colOff>
      <xdr:row>7</xdr:row>
      <xdr:rowOff>81647</xdr:rowOff>
    </xdr:from>
    <xdr:to>
      <xdr:col>5</xdr:col>
      <xdr:colOff>127000</xdr:colOff>
      <xdr:row>13</xdr:row>
      <xdr:rowOff>25402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68861053-710E-51C3-6918-9AE6E1BC39C4}"/>
            </a:ext>
          </a:extLst>
        </xdr:cNvPr>
        <xdr:cNvGrpSpPr/>
      </xdr:nvGrpSpPr>
      <xdr:grpSpPr>
        <a:xfrm>
          <a:off x="72571" y="1170218"/>
          <a:ext cx="2939143" cy="1005113"/>
          <a:chOff x="154214" y="4154715"/>
          <a:chExt cx="2884715" cy="933191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AD1D0DEC-8D95-BA22-7AAC-AE592FB462B1}"/>
              </a:ext>
            </a:extLst>
          </xdr:cNvPr>
          <xdr:cNvGrpSpPr/>
        </xdr:nvGrpSpPr>
        <xdr:grpSpPr>
          <a:xfrm>
            <a:off x="172358" y="4154715"/>
            <a:ext cx="2866571" cy="933191"/>
            <a:chOff x="172358" y="4145643"/>
            <a:chExt cx="2866571" cy="933191"/>
          </a:xfrm>
        </xdr:grpSpPr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22F429FD-7C78-A101-C47E-FC1C430278E7}"/>
                </a:ext>
              </a:extLst>
            </xdr:cNvPr>
            <xdr:cNvGrpSpPr/>
          </xdr:nvGrpSpPr>
          <xdr:grpSpPr>
            <a:xfrm>
              <a:off x="172358" y="4145643"/>
              <a:ext cx="2866571" cy="933191"/>
              <a:chOff x="154215" y="4127500"/>
              <a:chExt cx="2866571" cy="933191"/>
            </a:xfrm>
          </xdr:grpSpPr>
          <xdr:sp macro="" textlink="$AO$11">
            <xdr:nvSpPr>
              <xdr:cNvPr id="17" name="Rectangle 16">
                <a:extLst>
                  <a:ext uri="{FF2B5EF4-FFF2-40B4-BE49-F238E27FC236}">
                    <a16:creationId xmlns:a16="http://schemas.microsoft.com/office/drawing/2014/main" id="{77E836EA-A4F3-9DB4-4FEB-02265B56D5C7}"/>
                  </a:ext>
                </a:extLst>
              </xdr:cNvPr>
              <xdr:cNvSpPr/>
            </xdr:nvSpPr>
            <xdr:spPr>
              <a:xfrm>
                <a:off x="154215" y="4146292"/>
                <a:ext cx="2866571" cy="914399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en-US" sz="1800" b="1"/>
              </a:p>
            </xdr:txBody>
          </xdr:sp>
          <xdr:sp macro="" textlink="">
            <xdr:nvSpPr>
              <xdr:cNvPr id="2" name="TextBox 1">
                <a:extLst>
                  <a:ext uri="{FF2B5EF4-FFF2-40B4-BE49-F238E27FC236}">
                    <a16:creationId xmlns:a16="http://schemas.microsoft.com/office/drawing/2014/main" id="{C95031E6-9164-E6CD-345A-DBCC2B02FB72}"/>
                  </a:ext>
                </a:extLst>
              </xdr:cNvPr>
              <xdr:cNvSpPr txBox="1"/>
            </xdr:nvSpPr>
            <xdr:spPr>
              <a:xfrm>
                <a:off x="616857" y="4127500"/>
                <a:ext cx="1224642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/>
                  <a:t>Total Revenue</a:t>
                </a:r>
              </a:p>
            </xdr:txBody>
          </xdr:sp>
          <xdr:sp macro="" textlink="$AO$11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A8B15266-6758-AC09-49B3-474DABA847C9}"/>
                  </a:ext>
                </a:extLst>
              </xdr:cNvPr>
              <xdr:cNvSpPr txBox="1"/>
            </xdr:nvSpPr>
            <xdr:spPr>
              <a:xfrm>
                <a:off x="553358" y="4345215"/>
                <a:ext cx="1941285" cy="39007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4211243-3FD9-42EB-8F58-4C37C05B0542}" type="TxLink">
                  <a:rPr lang="en-US" sz="2000" b="0" i="0" u="none" strike="noStrike">
                    <a:solidFill>
                      <a:srgbClr val="275317"/>
                    </a:solidFill>
                    <a:latin typeface="Carlito"/>
                  </a:rPr>
                  <a:pPr algn="ctr"/>
                  <a:t>235,220.00 AED</a:t>
                </a:fld>
                <a:endParaRPr lang="en-US" sz="2000"/>
              </a:p>
            </xdr:txBody>
          </xdr:sp>
        </xdr:grp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E74251F-FE38-0B9B-88F4-F79F472CBE18}"/>
                </a:ext>
              </a:extLst>
            </xdr:cNvPr>
            <xdr:cNvSpPr txBox="1"/>
          </xdr:nvSpPr>
          <xdr:spPr>
            <a:xfrm>
              <a:off x="544286" y="4835071"/>
              <a:ext cx="1478643" cy="2086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>
                  <a:solidFill>
                    <a:schemeClr val="bg2">
                      <a:lumMod val="90000"/>
                    </a:schemeClr>
                  </a:solidFill>
                </a:rPr>
                <a:t>vs Previous Period</a:t>
              </a:r>
            </a:p>
          </xdr:txBody>
        </xdr:sp>
      </xdr:grpSp>
      <xdr:pic>
        <xdr:nvPicPr>
          <xdr:cNvPr id="73" name="Graphic 72" descr="Coins with solid fill">
            <a:extLst>
              <a:ext uri="{FF2B5EF4-FFF2-40B4-BE49-F238E27FC236}">
                <a16:creationId xmlns:a16="http://schemas.microsoft.com/office/drawing/2014/main" id="{36907C77-F6D1-F1D5-045D-6BA8E0C0AB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54214" y="4181927"/>
            <a:ext cx="535214" cy="535214"/>
          </a:xfrm>
          <a:prstGeom prst="rect">
            <a:avLst/>
          </a:prstGeom>
        </xdr:spPr>
      </xdr:pic>
    </xdr:grpSp>
    <xdr:clientData/>
  </xdr:twoCellAnchor>
  <xdr:twoCellAnchor>
    <xdr:from>
      <xdr:col>26</xdr:col>
      <xdr:colOff>657272</xdr:colOff>
      <xdr:row>7</xdr:row>
      <xdr:rowOff>76563</xdr:rowOff>
    </xdr:from>
    <xdr:to>
      <xdr:col>30</xdr:col>
      <xdr:colOff>628464</xdr:colOff>
      <xdr:row>13</xdr:row>
      <xdr:rowOff>61685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7C698F2E-9483-CAA5-2896-9AEF483F551A}"/>
            </a:ext>
          </a:extLst>
        </xdr:cNvPr>
        <xdr:cNvGrpSpPr/>
      </xdr:nvGrpSpPr>
      <xdr:grpSpPr>
        <a:xfrm>
          <a:off x="14264415" y="1165134"/>
          <a:ext cx="2656335" cy="1046480"/>
          <a:chOff x="14383071" y="4181929"/>
          <a:chExt cx="2662141" cy="943428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10743239-0CA8-D8E9-D0EA-139EC7C54F88}"/>
              </a:ext>
            </a:extLst>
          </xdr:cNvPr>
          <xdr:cNvGrpSpPr/>
        </xdr:nvGrpSpPr>
        <xdr:grpSpPr>
          <a:xfrm>
            <a:off x="14414498" y="4181929"/>
            <a:ext cx="2630714" cy="943428"/>
            <a:chOff x="14414498" y="4181929"/>
            <a:chExt cx="2630714" cy="943428"/>
          </a:xfrm>
        </xdr:grpSpPr>
        <xdr:grpSp>
          <xdr:nvGrpSpPr>
            <xdr:cNvPr id="69" name="Group 68">
              <a:extLst>
                <a:ext uri="{FF2B5EF4-FFF2-40B4-BE49-F238E27FC236}">
                  <a16:creationId xmlns:a16="http://schemas.microsoft.com/office/drawing/2014/main" id="{FDDD5B98-8A80-D53B-3D57-76DE166AB26C}"/>
                </a:ext>
              </a:extLst>
            </xdr:cNvPr>
            <xdr:cNvGrpSpPr/>
          </xdr:nvGrpSpPr>
          <xdr:grpSpPr>
            <a:xfrm>
              <a:off x="14414498" y="4181929"/>
              <a:ext cx="2630714" cy="943428"/>
              <a:chOff x="14414498" y="4181929"/>
              <a:chExt cx="2630714" cy="943428"/>
            </a:xfrm>
          </xdr:grpSpPr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ACAB8065-2E00-41BE-7AAF-82DE721B9A3E}"/>
                  </a:ext>
                </a:extLst>
              </xdr:cNvPr>
              <xdr:cNvSpPr/>
            </xdr:nvSpPr>
            <xdr:spPr>
              <a:xfrm>
                <a:off x="14414498" y="4191002"/>
                <a:ext cx="2630714" cy="914399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50" name="TextBox 49">
                <a:extLst>
                  <a:ext uri="{FF2B5EF4-FFF2-40B4-BE49-F238E27FC236}">
                    <a16:creationId xmlns:a16="http://schemas.microsoft.com/office/drawing/2014/main" id="{D15E029C-13FF-BC03-8C75-FE370A94A6ED}"/>
                  </a:ext>
                </a:extLst>
              </xdr:cNvPr>
              <xdr:cNvSpPr txBox="1"/>
            </xdr:nvSpPr>
            <xdr:spPr>
              <a:xfrm>
                <a:off x="14895285" y="4181929"/>
                <a:ext cx="2095500" cy="29935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400"/>
                  <a:t>Complet</a:t>
                </a:r>
                <a:r>
                  <a:rPr lang="en-US" sz="1400" baseline="0"/>
                  <a:t> vs  Target Task</a:t>
                </a:r>
                <a:endParaRPr lang="en-US" sz="1400"/>
              </a:p>
            </xdr:txBody>
          </xdr:sp>
          <xdr:sp macro="" textlink="$BO$10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29C61FEE-BAC4-EF9F-1A61-5D377A409E8F}"/>
                  </a:ext>
                </a:extLst>
              </xdr:cNvPr>
              <xdr:cNvSpPr txBox="1"/>
            </xdr:nvSpPr>
            <xdr:spPr>
              <a:xfrm>
                <a:off x="15466785" y="4381500"/>
                <a:ext cx="662215" cy="3537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ADD35B82-DFB3-4B8A-98E0-01F81E374EDB}" type="TxLink">
                  <a:rPr lang="en-US" sz="2000" b="0" i="0" u="none" strike="noStrike">
                    <a:solidFill>
                      <a:srgbClr val="275317"/>
                    </a:solidFill>
                    <a:latin typeface="Carlito"/>
                  </a:rPr>
                  <a:pPr/>
                  <a:t>42</a:t>
                </a:fld>
                <a:endParaRPr lang="en-US" sz="2000"/>
              </a:p>
            </xdr:txBody>
          </xdr:sp>
          <xdr:sp macro="" textlink="$BO$11">
            <xdr:nvSpPr>
              <xdr:cNvPr id="53" name="TextBox 52">
                <a:extLst>
                  <a:ext uri="{FF2B5EF4-FFF2-40B4-BE49-F238E27FC236}">
                    <a16:creationId xmlns:a16="http://schemas.microsoft.com/office/drawing/2014/main" id="{2DB12047-A008-23F7-B75A-7B20E0D2BCB4}"/>
                  </a:ext>
                </a:extLst>
              </xdr:cNvPr>
              <xdr:cNvSpPr txBox="1"/>
            </xdr:nvSpPr>
            <xdr:spPr>
              <a:xfrm>
                <a:off x="14922500" y="4381500"/>
                <a:ext cx="498929" cy="33564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6D7F01AE-556C-4BE6-A018-066890005065}" type="TxLink">
                  <a:rPr lang="en-US" sz="2000" b="0" i="0" u="none" strike="noStrike">
                    <a:solidFill>
                      <a:srgbClr val="275317"/>
                    </a:solidFill>
                    <a:latin typeface="Carlito"/>
                  </a:rPr>
                  <a:pPr/>
                  <a:t>41</a:t>
                </a:fld>
                <a:endParaRPr lang="en-US" sz="2000"/>
              </a:p>
            </xdr:txBody>
          </xdr:sp>
          <mc:AlternateContent xmlns:mc="http://schemas.openxmlformats.org/markup-compatibility/2006" xmlns:a14="http://schemas.microsoft.com/office/drawing/2010/main">
            <mc:Choice Requires="a14">
              <xdr:pic>
                <xdr:nvPicPr>
                  <xdr:cNvPr id="55" name="Picture 54">
                    <a:extLst>
                      <a:ext uri="{FF2B5EF4-FFF2-40B4-BE49-F238E27FC236}">
                        <a16:creationId xmlns:a16="http://schemas.microsoft.com/office/drawing/2014/main" id="{08354FF8-2D0C-7269-0D16-34F6D6CDF4FB}"/>
                      </a:ext>
                    </a:extLst>
                  </xdr:cNvPr>
                  <xdr:cNvPicPr>
                    <a:picLocks noChangeAspect="1" noChangeArrowheads="1"/>
                    <a:extLst>
                      <a:ext uri="{84589F7E-364E-4C9E-8A38-B11213B215E9}">
                        <a14:cameraTool cellRange="$BP$11" spid="_x0000_s1173"/>
                      </a:ext>
                    </a:extLst>
                  </xdr:cNvPicPr>
                </xdr:nvPicPr>
                <xdr:blipFill>
                  <a:blip xmlns:r="http://schemas.openxmlformats.org/officeDocument/2006/relationships" r:embed="rId5"/>
                  <a:srcRect/>
                  <a:stretch>
                    <a:fillRect/>
                  </a:stretch>
                </xdr:blipFill>
                <xdr:spPr bwMode="auto">
                  <a:xfrm>
                    <a:off x="14978953" y="4696069"/>
                    <a:ext cx="672753" cy="155384"/>
                  </a:xfrm>
                  <a:prstGeom prst="rect">
                    <a:avLst/>
                  </a:prstGeom>
                  <a:noFill/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</mc:Choice>
            <mc:Fallback xmlns=""/>
          </mc:AlternateContent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5716B01F-5E41-970E-7278-A9EFFB02CF58}"/>
                  </a:ext>
                </a:extLst>
              </xdr:cNvPr>
              <xdr:cNvSpPr txBox="1"/>
            </xdr:nvSpPr>
            <xdr:spPr>
              <a:xfrm>
                <a:off x="14922501" y="4844142"/>
                <a:ext cx="1378857" cy="28121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1100">
                    <a:solidFill>
                      <a:schemeClr val="bg2">
                        <a:lumMod val="9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vs Previous Period</a:t>
                </a:r>
                <a:endParaRPr lang="en-US">
                  <a:solidFill>
                    <a:schemeClr val="bg2">
                      <a:lumMod val="90000"/>
                    </a:schemeClr>
                  </a:solidFill>
                  <a:effectLst/>
                </a:endParaRPr>
              </a:p>
              <a:p>
                <a:endParaRPr lang="en-US" sz="1100"/>
              </a:p>
            </xdr:txBody>
          </xdr:sp>
        </xdr:grp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8299C2F4-078F-DF54-AA28-35098703036D}"/>
                </a:ext>
              </a:extLst>
            </xdr:cNvPr>
            <xdr:cNvSpPr txBox="1"/>
          </xdr:nvSpPr>
          <xdr:spPr>
            <a:xfrm>
              <a:off x="15303500" y="4399643"/>
              <a:ext cx="172357" cy="2902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000" b="0"/>
                <a:t>/</a:t>
              </a:r>
            </a:p>
          </xdr:txBody>
        </xdr:sp>
      </xdr:grpSp>
      <xdr:pic>
        <xdr:nvPicPr>
          <xdr:cNvPr id="77" name="Graphic 76" descr="Checklist with solid fill">
            <a:extLst>
              <a:ext uri="{FF2B5EF4-FFF2-40B4-BE49-F238E27FC236}">
                <a16:creationId xmlns:a16="http://schemas.microsoft.com/office/drawing/2014/main" id="{20FD3601-8D50-ABC5-DE41-231B74BDD9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4383071" y="4195858"/>
            <a:ext cx="548500" cy="5485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99985</xdr:colOff>
      <xdr:row>7</xdr:row>
      <xdr:rowOff>58420</xdr:rowOff>
    </xdr:from>
    <xdr:to>
      <xdr:col>11</xdr:col>
      <xdr:colOff>87648</xdr:colOff>
      <xdr:row>13</xdr:row>
      <xdr:rowOff>47895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1494C673-2D8B-E869-2B45-EB3463EF4BAF}"/>
            </a:ext>
          </a:extLst>
        </xdr:cNvPr>
        <xdr:cNvGrpSpPr/>
      </xdr:nvGrpSpPr>
      <xdr:grpSpPr>
        <a:xfrm>
          <a:off x="3138914" y="1146991"/>
          <a:ext cx="2636520" cy="1050833"/>
          <a:chOff x="3138714" y="4136572"/>
          <a:chExt cx="2630714" cy="950685"/>
        </a:xfrm>
      </xdr:grpSpPr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32D3AD4F-B81B-DC51-EFEE-01BB39CA93FE}"/>
              </a:ext>
            </a:extLst>
          </xdr:cNvPr>
          <xdr:cNvGrpSpPr/>
        </xdr:nvGrpSpPr>
        <xdr:grpSpPr>
          <a:xfrm>
            <a:off x="3138714" y="4136572"/>
            <a:ext cx="2630714" cy="950685"/>
            <a:chOff x="3138714" y="4136572"/>
            <a:chExt cx="2630714" cy="950685"/>
          </a:xfrm>
        </xdr:grpSpPr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22E30BCC-D6CD-7B68-81F2-99990FE18A3E}"/>
                </a:ext>
              </a:extLst>
            </xdr:cNvPr>
            <xdr:cNvSpPr/>
          </xdr:nvSpPr>
          <xdr:spPr>
            <a:xfrm>
              <a:off x="3138714" y="4172858"/>
              <a:ext cx="2630714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FA3470E-6265-B645-5870-F8367D3B4A60}"/>
                </a:ext>
              </a:extLst>
            </xdr:cNvPr>
            <xdr:cNvSpPr txBox="1"/>
          </xdr:nvSpPr>
          <xdr:spPr>
            <a:xfrm>
              <a:off x="3673929" y="4136572"/>
              <a:ext cx="1678215" cy="3084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400"/>
                <a:t>Average</a:t>
              </a:r>
              <a:r>
                <a:rPr lang="en-US" sz="1400" baseline="0"/>
                <a:t> Perfomanc</a:t>
              </a:r>
              <a:endParaRPr lang="en-US" sz="1400"/>
            </a:p>
          </xdr:txBody>
        </xdr:sp>
        <xdr:sp macro="" textlink="$AU$10">
          <xdr:nvSpPr>
            <xdr:cNvPr id="30" name="TextBox 29">
              <a:extLst>
                <a:ext uri="{FF2B5EF4-FFF2-40B4-BE49-F238E27FC236}">
                  <a16:creationId xmlns:a16="http://schemas.microsoft.com/office/drawing/2014/main" id="{6E52D1D6-BB2A-7EF4-FDDF-85001E424CE6}"/>
                </a:ext>
              </a:extLst>
            </xdr:cNvPr>
            <xdr:cNvSpPr txBox="1"/>
          </xdr:nvSpPr>
          <xdr:spPr>
            <a:xfrm>
              <a:off x="3664858" y="4345214"/>
              <a:ext cx="1487715" cy="317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8B8124FF-60BB-42F3-BA0F-657E3A71271B}" type="TxLink">
                <a:rPr lang="en-US" sz="2000" b="0" i="0" u="none" strike="noStrike">
                  <a:solidFill>
                    <a:srgbClr val="275317"/>
                  </a:solidFill>
                  <a:latin typeface="Carlito"/>
                </a:rPr>
                <a:pPr/>
                <a:t>93.56%</a:t>
              </a:fld>
              <a:endParaRPr lang="en-US" sz="20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3" name="Picture 32">
                  <a:extLst>
                    <a:ext uri="{FF2B5EF4-FFF2-40B4-BE49-F238E27FC236}">
                      <a16:creationId xmlns:a16="http://schemas.microsoft.com/office/drawing/2014/main" id="{6A3F2277-473A-4E0C-BF31-42217FBA5EB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AV$11" spid="_x0000_s1174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3694833" y="4650996"/>
                  <a:ext cx="669808" cy="155931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319AD34E-DD8E-59D8-AF97-0666298E394D}"/>
                </a:ext>
              </a:extLst>
            </xdr:cNvPr>
            <xdr:cNvSpPr txBox="1"/>
          </xdr:nvSpPr>
          <xdr:spPr>
            <a:xfrm>
              <a:off x="3646714" y="4816930"/>
              <a:ext cx="1451429" cy="254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bg2">
                      <a:lumMod val="9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vs Previous Period</a:t>
              </a:r>
              <a:endParaRPr lang="en-US">
                <a:solidFill>
                  <a:schemeClr val="bg2">
                    <a:lumMod val="90000"/>
                  </a:schemeClr>
                </a:solidFill>
                <a:effectLst/>
              </a:endParaRPr>
            </a:p>
            <a:p>
              <a:endParaRPr lang="en-US" sz="1100"/>
            </a:p>
          </xdr:txBody>
        </xdr:sp>
      </xdr:grpSp>
      <xdr:pic>
        <xdr:nvPicPr>
          <xdr:cNvPr id="79" name="Graphic 78" descr="Star with solid fill">
            <a:extLst>
              <a:ext uri="{FF2B5EF4-FFF2-40B4-BE49-F238E27FC236}">
                <a16:creationId xmlns:a16="http://schemas.microsoft.com/office/drawing/2014/main" id="{FE559E23-5DC5-37E3-27EB-2D8DF8DE1F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184716" y="4155358"/>
            <a:ext cx="489214" cy="489214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223920</xdr:colOff>
      <xdr:row>7</xdr:row>
      <xdr:rowOff>45776</xdr:rowOff>
    </xdr:from>
    <xdr:to>
      <xdr:col>16</xdr:col>
      <xdr:colOff>235532</xdr:colOff>
      <xdr:row>13</xdr:row>
      <xdr:rowOff>79827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DD09246F-725C-4D54-D8AC-D701D86F66CF}"/>
            </a:ext>
          </a:extLst>
        </xdr:cNvPr>
        <xdr:cNvGrpSpPr/>
      </xdr:nvGrpSpPr>
      <xdr:grpSpPr>
        <a:xfrm>
          <a:off x="5911706" y="1134347"/>
          <a:ext cx="2642326" cy="1095409"/>
          <a:chOff x="5914770" y="4142072"/>
          <a:chExt cx="2630714" cy="992357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8EF6119F-2CB7-EB9B-6FEF-1559D6AB2205}"/>
              </a:ext>
            </a:extLst>
          </xdr:cNvPr>
          <xdr:cNvGrpSpPr/>
        </xdr:nvGrpSpPr>
        <xdr:grpSpPr>
          <a:xfrm>
            <a:off x="5914770" y="4181929"/>
            <a:ext cx="2630714" cy="952500"/>
            <a:chOff x="5914770" y="4181929"/>
            <a:chExt cx="2630714" cy="952500"/>
          </a:xfrm>
        </xdr:grpSpPr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A258E16F-9261-9A99-4E59-004D84F74387}"/>
                </a:ext>
              </a:extLst>
            </xdr:cNvPr>
            <xdr:cNvSpPr/>
          </xdr:nvSpPr>
          <xdr:spPr>
            <a:xfrm>
              <a:off x="5914770" y="4191000"/>
              <a:ext cx="2630714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204FAE6-9A63-D771-EE12-326306553216}"/>
                </a:ext>
              </a:extLst>
            </xdr:cNvPr>
            <xdr:cNvSpPr txBox="1"/>
          </xdr:nvSpPr>
          <xdr:spPr>
            <a:xfrm>
              <a:off x="6531429" y="4181929"/>
              <a:ext cx="1660071" cy="28121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/>
                <a:t>Average Attendace</a:t>
              </a:r>
            </a:p>
          </xdr:txBody>
        </xdr:sp>
        <xdr:sp macro="" textlink="$AZ$10">
          <xdr:nvSpPr>
            <xdr:cNvPr id="35" name="TextBox 34">
              <a:extLst>
                <a:ext uri="{FF2B5EF4-FFF2-40B4-BE49-F238E27FC236}">
                  <a16:creationId xmlns:a16="http://schemas.microsoft.com/office/drawing/2014/main" id="{9F2A0A65-22FD-B543-B42B-F22FCCA3EEC2}"/>
                </a:ext>
              </a:extLst>
            </xdr:cNvPr>
            <xdr:cNvSpPr txBox="1"/>
          </xdr:nvSpPr>
          <xdr:spPr>
            <a:xfrm>
              <a:off x="6522358" y="4372428"/>
              <a:ext cx="1342572" cy="317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5ED8C02-D8A2-4E6A-8E27-2DCAA88D4FE9}" type="TxLink">
                <a:rPr lang="en-US" sz="2000" b="0" i="0" u="none" strike="noStrike">
                  <a:solidFill>
                    <a:srgbClr val="275317"/>
                  </a:solidFill>
                  <a:latin typeface="Carlito"/>
                </a:rPr>
                <a:pPr/>
                <a:t>95.37%</a:t>
              </a:fld>
              <a:endParaRPr lang="en-US" sz="20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7" name="Picture 36">
                  <a:extLst>
                    <a:ext uri="{FF2B5EF4-FFF2-40B4-BE49-F238E27FC236}">
                      <a16:creationId xmlns:a16="http://schemas.microsoft.com/office/drawing/2014/main" id="{75F1357D-CDE4-DB52-98A5-CBA7B85D41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A$11" spid="_x0000_s1175"/>
                    </a:ext>
                  </a:extLst>
                </xdr:cNvPicPr>
              </xdr:nvPicPr>
              <xdr:blipFill>
                <a:blip xmlns:r="http://schemas.openxmlformats.org/officeDocument/2006/relationships" r:embed="rId11"/>
                <a:srcRect/>
                <a:stretch>
                  <a:fillRect/>
                </a:stretch>
              </xdr:blipFill>
              <xdr:spPr bwMode="auto">
                <a:xfrm>
                  <a:off x="6563238" y="4669868"/>
                  <a:ext cx="668336" cy="15614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48229AC7-A7B3-7600-C2F3-B29943A3FD96}"/>
                </a:ext>
              </a:extLst>
            </xdr:cNvPr>
            <xdr:cNvSpPr txBox="1"/>
          </xdr:nvSpPr>
          <xdr:spPr>
            <a:xfrm>
              <a:off x="6549571" y="4871357"/>
              <a:ext cx="1333500" cy="2630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bg2">
                      <a:lumMod val="9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vs Previous Period</a:t>
              </a:r>
              <a:endParaRPr lang="en-US">
                <a:solidFill>
                  <a:schemeClr val="bg2">
                    <a:lumMod val="90000"/>
                  </a:schemeClr>
                </a:solidFill>
                <a:effectLst/>
              </a:endParaRPr>
            </a:p>
            <a:p>
              <a:endParaRPr lang="en-US" sz="1100"/>
            </a:p>
          </xdr:txBody>
        </xdr:sp>
      </xdr:grpSp>
      <xdr:pic>
        <xdr:nvPicPr>
          <xdr:cNvPr id="81" name="Graphic 80" descr="Users with solid fill">
            <a:extLst>
              <a:ext uri="{FF2B5EF4-FFF2-40B4-BE49-F238E27FC236}">
                <a16:creationId xmlns:a16="http://schemas.microsoft.com/office/drawing/2014/main" id="{A6737EE1-6E9B-6530-4074-ABCC73AECC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5992643" y="4142072"/>
            <a:ext cx="593213" cy="59321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371803</xdr:colOff>
      <xdr:row>7</xdr:row>
      <xdr:rowOff>85635</xdr:rowOff>
    </xdr:from>
    <xdr:to>
      <xdr:col>21</xdr:col>
      <xdr:colOff>371439</xdr:colOff>
      <xdr:row>13</xdr:row>
      <xdr:rowOff>58782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139C0B26-5F59-F6A7-A064-3672823AE57A}"/>
            </a:ext>
          </a:extLst>
        </xdr:cNvPr>
        <xdr:cNvGrpSpPr/>
      </xdr:nvGrpSpPr>
      <xdr:grpSpPr>
        <a:xfrm>
          <a:off x="8690303" y="1174206"/>
          <a:ext cx="2639422" cy="1034505"/>
          <a:chOff x="8781142" y="4191001"/>
          <a:chExt cx="2630714" cy="934356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B015DF22-FBD3-6F2D-0180-E669CF07AEBF}"/>
              </a:ext>
            </a:extLst>
          </xdr:cNvPr>
          <xdr:cNvGrpSpPr/>
        </xdr:nvGrpSpPr>
        <xdr:grpSpPr>
          <a:xfrm>
            <a:off x="8781142" y="4191001"/>
            <a:ext cx="2630714" cy="934356"/>
            <a:chOff x="8781142" y="4191001"/>
            <a:chExt cx="2630714" cy="934356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8DBEA1E7-8B81-EDCE-480E-FE4B3C30B314}"/>
                </a:ext>
              </a:extLst>
            </xdr:cNvPr>
            <xdr:cNvSpPr/>
          </xdr:nvSpPr>
          <xdr:spPr>
            <a:xfrm>
              <a:off x="8781142" y="4200073"/>
              <a:ext cx="2630714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02E0E3-FC84-4185-2984-A56C9136B45C}"/>
                </a:ext>
              </a:extLst>
            </xdr:cNvPr>
            <xdr:cNvSpPr txBox="1"/>
          </xdr:nvSpPr>
          <xdr:spPr>
            <a:xfrm>
              <a:off x="9325429" y="4191001"/>
              <a:ext cx="1578428" cy="317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/>
                <a:t>Average Quality</a:t>
              </a:r>
            </a:p>
          </xdr:txBody>
        </xdr:sp>
        <xdr:sp macro="" textlink="$BE$10">
          <xdr:nvSpPr>
            <xdr:cNvPr id="39" name="TextBox 38">
              <a:extLst>
                <a:ext uri="{FF2B5EF4-FFF2-40B4-BE49-F238E27FC236}">
                  <a16:creationId xmlns:a16="http://schemas.microsoft.com/office/drawing/2014/main" id="{D63D3918-5428-87C1-FD0B-B42283D916ED}"/>
                </a:ext>
              </a:extLst>
            </xdr:cNvPr>
            <xdr:cNvSpPr txBox="1"/>
          </xdr:nvSpPr>
          <xdr:spPr>
            <a:xfrm>
              <a:off x="9325428" y="4372428"/>
              <a:ext cx="1524000" cy="3537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E005676-60F2-41C0-B048-933391E215D8}" type="TxLink">
                <a:rPr lang="en-US" sz="2000" b="0" i="0" u="none" strike="noStrike">
                  <a:solidFill>
                    <a:srgbClr val="275317"/>
                  </a:solidFill>
                  <a:latin typeface="Carlito"/>
                </a:rPr>
                <a:pPr/>
                <a:t>91.88%</a:t>
              </a:fld>
              <a:endParaRPr lang="en-US" sz="20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41" name="Picture 40">
                  <a:extLst>
                    <a:ext uri="{FF2B5EF4-FFF2-40B4-BE49-F238E27FC236}">
                      <a16:creationId xmlns:a16="http://schemas.microsoft.com/office/drawing/2014/main" id="{48C5FCD2-11CE-28AD-E156-D04CE1737942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F$11" spid="_x0000_s1176"/>
                    </a:ext>
                  </a:extLst>
                </xdr:cNvPicPr>
              </xdr:nvPicPr>
              <xdr:blipFill>
                <a:blip xmlns:r="http://schemas.openxmlformats.org/officeDocument/2006/relationships" r:embed="rId14"/>
                <a:srcRect/>
                <a:stretch>
                  <a:fillRect/>
                </a:stretch>
              </xdr:blipFill>
              <xdr:spPr bwMode="auto">
                <a:xfrm>
                  <a:off x="9382583" y="4681215"/>
                  <a:ext cx="669071" cy="155671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AACC568-4397-F1E0-B1B4-2E8040D2D656}"/>
                </a:ext>
              </a:extLst>
            </xdr:cNvPr>
            <xdr:cNvSpPr txBox="1"/>
          </xdr:nvSpPr>
          <xdr:spPr>
            <a:xfrm>
              <a:off x="9334500" y="4889500"/>
              <a:ext cx="1415143" cy="2358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bg2">
                      <a:lumMod val="9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vs Previous Period</a:t>
              </a:r>
              <a:endParaRPr lang="en-US">
                <a:solidFill>
                  <a:schemeClr val="bg2">
                    <a:lumMod val="90000"/>
                  </a:schemeClr>
                </a:solidFill>
                <a:effectLst/>
              </a:endParaRPr>
            </a:p>
            <a:p>
              <a:endParaRPr lang="en-US" sz="1100"/>
            </a:p>
          </xdr:txBody>
        </xdr:sp>
      </xdr:grpSp>
      <xdr:pic>
        <xdr:nvPicPr>
          <xdr:cNvPr id="83" name="Graphic 82" descr="Ribbon with solid fill">
            <a:extLst>
              <a:ext uri="{FF2B5EF4-FFF2-40B4-BE49-F238E27FC236}">
                <a16:creationId xmlns:a16="http://schemas.microsoft.com/office/drawing/2014/main" id="{46853FD0-FB96-7BE1-8FC7-254D40B12F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8844644" y="4200074"/>
            <a:ext cx="517070" cy="517070"/>
          </a:xfrm>
          <a:prstGeom prst="rect">
            <a:avLst/>
          </a:prstGeom>
        </xdr:spPr>
      </xdr:pic>
    </xdr:grpSp>
    <xdr:clientData/>
  </xdr:twoCellAnchor>
  <xdr:twoCellAnchor>
    <xdr:from>
      <xdr:col>21</xdr:col>
      <xdr:colOff>525853</xdr:colOff>
      <xdr:row>7</xdr:row>
      <xdr:rowOff>85634</xdr:rowOff>
    </xdr:from>
    <xdr:to>
      <xdr:col>27</xdr:col>
      <xdr:colOff>12998</xdr:colOff>
      <xdr:row>13</xdr:row>
      <xdr:rowOff>61686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DBB98379-5352-8EEB-85B3-1B39D11D2A66}"/>
            </a:ext>
          </a:extLst>
        </xdr:cNvPr>
        <xdr:cNvGrpSpPr/>
      </xdr:nvGrpSpPr>
      <xdr:grpSpPr>
        <a:xfrm>
          <a:off x="11484139" y="1174205"/>
          <a:ext cx="2807288" cy="1037410"/>
          <a:chOff x="11589070" y="4191000"/>
          <a:chExt cx="2807288" cy="934358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913C8B4B-4154-2664-337B-193E82AF8E16}"/>
              </a:ext>
            </a:extLst>
          </xdr:cNvPr>
          <xdr:cNvGrpSpPr/>
        </xdr:nvGrpSpPr>
        <xdr:grpSpPr>
          <a:xfrm>
            <a:off x="11602356" y="4191000"/>
            <a:ext cx="2794002" cy="934358"/>
            <a:chOff x="11602356" y="4191000"/>
            <a:chExt cx="2794002" cy="934358"/>
          </a:xfrm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EBAC9840-CA7D-8656-2CCC-EF10EC0238B3}"/>
                </a:ext>
              </a:extLst>
            </xdr:cNvPr>
            <xdr:cNvSpPr/>
          </xdr:nvSpPr>
          <xdr:spPr>
            <a:xfrm>
              <a:off x="11602356" y="4200073"/>
              <a:ext cx="2630714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74E0A506-1195-10F4-BD67-C6E802F8F9BF}"/>
                </a:ext>
              </a:extLst>
            </xdr:cNvPr>
            <xdr:cNvSpPr txBox="1"/>
          </xdr:nvSpPr>
          <xdr:spPr>
            <a:xfrm>
              <a:off x="12019644" y="4191000"/>
              <a:ext cx="2376714" cy="344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/>
                <a:t>Average</a:t>
              </a:r>
              <a:r>
                <a:rPr lang="en-US" sz="1400" baseline="0"/>
                <a:t> Customer satifacion</a:t>
              </a:r>
              <a:endParaRPr lang="en-US" sz="1400"/>
            </a:p>
          </xdr:txBody>
        </xdr:sp>
        <xdr:sp macro="" textlink="$BJ$10">
          <xdr:nvSpPr>
            <xdr:cNvPr id="43" name="TextBox 42">
              <a:extLst>
                <a:ext uri="{FF2B5EF4-FFF2-40B4-BE49-F238E27FC236}">
                  <a16:creationId xmlns:a16="http://schemas.microsoft.com/office/drawing/2014/main" id="{35F98A72-10ED-46E9-13ED-AD5ABD1E54C3}"/>
                </a:ext>
              </a:extLst>
            </xdr:cNvPr>
            <xdr:cNvSpPr txBox="1"/>
          </xdr:nvSpPr>
          <xdr:spPr>
            <a:xfrm>
              <a:off x="12010570" y="4381500"/>
              <a:ext cx="1741714" cy="3537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4CD9E957-6CA3-4C87-A8D3-55026A4897B1}" type="TxLink">
                <a:rPr lang="en-US" sz="2000" b="0" i="0" u="none" strike="noStrike">
                  <a:solidFill>
                    <a:srgbClr val="275317"/>
                  </a:solidFill>
                  <a:latin typeface="Carlito"/>
                </a:rPr>
                <a:pPr/>
                <a:t>90.64%</a:t>
              </a:fld>
              <a:endParaRPr lang="en-US" sz="20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49" name="Picture 48">
                  <a:extLst>
                    <a:ext uri="{FF2B5EF4-FFF2-40B4-BE49-F238E27FC236}">
                      <a16:creationId xmlns:a16="http://schemas.microsoft.com/office/drawing/2014/main" id="{E35D3B1D-A5B9-26CB-0DEE-B9FB2E0D68A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BK$11" spid="_x0000_s1177"/>
                    </a:ext>
                  </a:extLst>
                </xdr:cNvPicPr>
              </xdr:nvPicPr>
              <xdr:blipFill>
                <a:blip xmlns:r="http://schemas.openxmlformats.org/officeDocument/2006/relationships" r:embed="rId17"/>
                <a:srcRect/>
                <a:stretch>
                  <a:fillRect/>
                </a:stretch>
              </xdr:blipFill>
              <xdr:spPr bwMode="auto">
                <a:xfrm>
                  <a:off x="12011298" y="4702136"/>
                  <a:ext cx="671286" cy="141117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1562B7CC-E6DB-8C19-5817-4A32CF67ED94}"/>
                </a:ext>
              </a:extLst>
            </xdr:cNvPr>
            <xdr:cNvSpPr txBox="1"/>
          </xdr:nvSpPr>
          <xdr:spPr>
            <a:xfrm>
              <a:off x="12010571" y="4862286"/>
              <a:ext cx="1288143" cy="2630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bg2">
                      <a:lumMod val="9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vs Previous Period</a:t>
              </a:r>
              <a:endParaRPr lang="en-US">
                <a:solidFill>
                  <a:schemeClr val="bg2">
                    <a:lumMod val="90000"/>
                  </a:schemeClr>
                </a:solidFill>
                <a:effectLst/>
              </a:endParaRPr>
            </a:p>
            <a:p>
              <a:endParaRPr lang="en-US" sz="1100"/>
            </a:p>
          </xdr:txBody>
        </xdr:sp>
      </xdr:grpSp>
      <xdr:pic>
        <xdr:nvPicPr>
          <xdr:cNvPr id="85" name="Graphic 84" descr="Grinning face with solid fill with solid fill">
            <a:extLst>
              <a:ext uri="{FF2B5EF4-FFF2-40B4-BE49-F238E27FC236}">
                <a16:creationId xmlns:a16="http://schemas.microsoft.com/office/drawing/2014/main" id="{8B2AC92D-F5FD-B848-A52D-818B6A8444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11589070" y="4214002"/>
            <a:ext cx="521287" cy="521287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54428</xdr:colOff>
      <xdr:row>3</xdr:row>
      <xdr:rowOff>45358</xdr:rowOff>
    </xdr:from>
    <xdr:to>
      <xdr:col>11</xdr:col>
      <xdr:colOff>607785</xdr:colOff>
      <xdr:row>7</xdr:row>
      <xdr:rowOff>27215</xdr:rowOff>
    </xdr:to>
    <xdr:pic>
      <xdr:nvPicPr>
        <xdr:cNvPr id="93" name="Graphic 92" descr="Network with solid fill">
          <a:extLst>
            <a:ext uri="{FF2B5EF4-FFF2-40B4-BE49-F238E27FC236}">
              <a16:creationId xmlns:a16="http://schemas.microsoft.com/office/drawing/2014/main" id="{0D9131D8-56DE-DEAD-1CFE-D2F46778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687785" y="562429"/>
          <a:ext cx="553357" cy="553357"/>
        </a:xfrm>
        <a:prstGeom prst="rect">
          <a:avLst/>
        </a:prstGeom>
      </xdr:spPr>
    </xdr:pic>
    <xdr:clientData/>
  </xdr:twoCellAnchor>
  <xdr:twoCellAnchor editAs="oneCell">
    <xdr:from>
      <xdr:col>21</xdr:col>
      <xdr:colOff>4857</xdr:colOff>
      <xdr:row>3</xdr:row>
      <xdr:rowOff>41143</xdr:rowOff>
    </xdr:from>
    <xdr:to>
      <xdr:col>21</xdr:col>
      <xdr:colOff>553357</xdr:colOff>
      <xdr:row>7</xdr:row>
      <xdr:rowOff>18143</xdr:rowOff>
    </xdr:to>
    <xdr:pic>
      <xdr:nvPicPr>
        <xdr:cNvPr id="95" name="Graphic 94" descr="Marker with solid fill">
          <a:extLst>
            <a:ext uri="{FF2B5EF4-FFF2-40B4-BE49-F238E27FC236}">
              <a16:creationId xmlns:a16="http://schemas.microsoft.com/office/drawing/2014/main" id="{6B8C8E85-897A-1B1A-FC82-AB217C7BB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0908714" y="558214"/>
          <a:ext cx="548500" cy="548500"/>
        </a:xfrm>
        <a:prstGeom prst="rect">
          <a:avLst/>
        </a:prstGeom>
      </xdr:spPr>
    </xdr:pic>
    <xdr:clientData/>
  </xdr:twoCellAnchor>
  <xdr:twoCellAnchor editAs="oneCell">
    <xdr:from>
      <xdr:col>26</xdr:col>
      <xdr:colOff>82284</xdr:colOff>
      <xdr:row>3</xdr:row>
      <xdr:rowOff>27858</xdr:rowOff>
    </xdr:from>
    <xdr:to>
      <xdr:col>26</xdr:col>
      <xdr:colOff>653141</xdr:colOff>
      <xdr:row>7</xdr:row>
      <xdr:rowOff>27215</xdr:rowOff>
    </xdr:to>
    <xdr:pic>
      <xdr:nvPicPr>
        <xdr:cNvPr id="97" name="Graphic 96" descr="Bullseye with solid fill">
          <a:extLst>
            <a:ext uri="{FF2B5EF4-FFF2-40B4-BE49-F238E27FC236}">
              <a16:creationId xmlns:a16="http://schemas.microsoft.com/office/drawing/2014/main" id="{BA6AF4AA-CC55-8010-4292-85604E46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13634998" y="544929"/>
          <a:ext cx="570857" cy="570857"/>
        </a:xfrm>
        <a:prstGeom prst="rect">
          <a:avLst/>
        </a:prstGeom>
      </xdr:spPr>
    </xdr:pic>
    <xdr:clientData/>
  </xdr:twoCellAnchor>
  <xdr:twoCellAnchor editAs="oneCell">
    <xdr:from>
      <xdr:col>1</xdr:col>
      <xdr:colOff>14571</xdr:colOff>
      <xdr:row>3</xdr:row>
      <xdr:rowOff>41788</xdr:rowOff>
    </xdr:from>
    <xdr:to>
      <xdr:col>1</xdr:col>
      <xdr:colOff>562428</xdr:colOff>
      <xdr:row>7</xdr:row>
      <xdr:rowOff>18145</xdr:rowOff>
    </xdr:to>
    <xdr:pic>
      <xdr:nvPicPr>
        <xdr:cNvPr id="99" name="Graphic 98" descr="Daily calendar with solid fill">
          <a:extLst>
            <a:ext uri="{FF2B5EF4-FFF2-40B4-BE49-F238E27FC236}">
              <a16:creationId xmlns:a16="http://schemas.microsoft.com/office/drawing/2014/main" id="{63401420-3DB5-CD6A-84F7-2431BD3E5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96214" y="558859"/>
          <a:ext cx="547857" cy="547857"/>
        </a:xfrm>
        <a:prstGeom prst="rect">
          <a:avLst/>
        </a:prstGeom>
      </xdr:spPr>
    </xdr:pic>
    <xdr:clientData/>
  </xdr:twoCellAnchor>
  <xdr:twoCellAnchor editAs="oneCell">
    <xdr:from>
      <xdr:col>6</xdr:col>
      <xdr:colOff>19428</xdr:colOff>
      <xdr:row>3</xdr:row>
      <xdr:rowOff>46642</xdr:rowOff>
    </xdr:from>
    <xdr:to>
      <xdr:col>6</xdr:col>
      <xdr:colOff>535214</xdr:colOff>
      <xdr:row>6</xdr:row>
      <xdr:rowOff>136070</xdr:rowOff>
    </xdr:to>
    <xdr:pic>
      <xdr:nvPicPr>
        <xdr:cNvPr id="101" name="Graphic 100" descr="Male profile with solid fill">
          <a:extLst>
            <a:ext uri="{FF2B5EF4-FFF2-40B4-BE49-F238E27FC236}">
              <a16:creationId xmlns:a16="http://schemas.microsoft.com/office/drawing/2014/main" id="{D13A7086-0DE2-9FD7-386B-95C1EA79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3003928" y="563713"/>
          <a:ext cx="515786" cy="515786"/>
        </a:xfrm>
        <a:prstGeom prst="rect">
          <a:avLst/>
        </a:prstGeom>
      </xdr:spPr>
    </xdr:pic>
    <xdr:clientData/>
  </xdr:twoCellAnchor>
  <xdr:twoCellAnchor>
    <xdr:from>
      <xdr:col>16</xdr:col>
      <xdr:colOff>63501</xdr:colOff>
      <xdr:row>4</xdr:row>
      <xdr:rowOff>1</xdr:rowOff>
    </xdr:from>
    <xdr:to>
      <xdr:col>16</xdr:col>
      <xdr:colOff>553357</xdr:colOff>
      <xdr:row>6</xdr:row>
      <xdr:rowOff>126999</xdr:rowOff>
    </xdr:to>
    <xdr:pic>
      <xdr:nvPicPr>
        <xdr:cNvPr id="102" name="Graphic 101" descr="Users with solid fill">
          <a:extLst>
            <a:ext uri="{FF2B5EF4-FFF2-40B4-BE49-F238E27FC236}">
              <a16:creationId xmlns:a16="http://schemas.microsoft.com/office/drawing/2014/main" id="{F776B782-C647-4E99-9EE2-903D9E5FE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8327572" y="580572"/>
          <a:ext cx="489856" cy="489856"/>
        </a:xfrm>
        <a:prstGeom prst="rect">
          <a:avLst/>
        </a:prstGeom>
      </xdr:spPr>
    </xdr:pic>
    <xdr:clientData/>
  </xdr:twoCellAnchor>
  <xdr:twoCellAnchor>
    <xdr:from>
      <xdr:col>3</xdr:col>
      <xdr:colOff>598714</xdr:colOff>
      <xdr:row>10</xdr:row>
      <xdr:rowOff>136072</xdr:rowOff>
    </xdr:from>
    <xdr:to>
      <xdr:col>5</xdr:col>
      <xdr:colOff>117929</xdr:colOff>
      <xdr:row>13</xdr:row>
      <xdr:rowOff>18142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0035B0-46BA-E77A-C06B-0CB5CF63C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18140</xdr:colOff>
      <xdr:row>15</xdr:row>
      <xdr:rowOff>54428</xdr:rowOff>
    </xdr:from>
    <xdr:to>
      <xdr:col>11</xdr:col>
      <xdr:colOff>90714</xdr:colOff>
      <xdr:row>23</xdr:row>
      <xdr:rowOff>163285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90B72F68-8344-4FF7-9C9A-43E45A2C1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</xdr:col>
      <xdr:colOff>435428</xdr:colOff>
      <xdr:row>13</xdr:row>
      <xdr:rowOff>81641</xdr:rowOff>
    </xdr:from>
    <xdr:to>
      <xdr:col>8</xdr:col>
      <xdr:colOff>489856</xdr:colOff>
      <xdr:row>15</xdr:row>
      <xdr:rowOff>81641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E879C70-2C00-7C2C-376C-54ED885F4513}"/>
            </a:ext>
          </a:extLst>
        </xdr:cNvPr>
        <xdr:cNvSpPr txBox="1"/>
      </xdr:nvSpPr>
      <xdr:spPr>
        <a:xfrm>
          <a:off x="517071" y="2231570"/>
          <a:ext cx="4281714" cy="344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3"/>
              </a:solidFill>
            </a:rPr>
            <a:t>Monthly</a:t>
          </a:r>
          <a:r>
            <a:rPr lang="en-US" sz="2000" b="1" baseline="0">
              <a:solidFill>
                <a:schemeClr val="accent3"/>
              </a:solidFill>
            </a:rPr>
            <a:t> Revenue Trend (2024 -  2026)</a:t>
          </a:r>
          <a:endParaRPr lang="en-US" sz="2000" b="1">
            <a:solidFill>
              <a:schemeClr val="accent3"/>
            </a:solidFill>
          </a:endParaRPr>
        </a:p>
      </xdr:txBody>
    </xdr:sp>
    <xdr:clientData/>
  </xdr:twoCellAnchor>
  <xdr:twoCellAnchor>
    <xdr:from>
      <xdr:col>11</xdr:col>
      <xdr:colOff>362857</xdr:colOff>
      <xdr:row>15</xdr:row>
      <xdr:rowOff>27214</xdr:rowOff>
    </xdr:from>
    <xdr:to>
      <xdr:col>21</xdr:col>
      <xdr:colOff>480786</xdr:colOff>
      <xdr:row>24</xdr:row>
      <xdr:rowOff>18143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9BA7715A-60D4-4E93-8B88-33D85024F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12</xdr:col>
      <xdr:colOff>244928</xdr:colOff>
      <xdr:row>13</xdr:row>
      <xdr:rowOff>99785</xdr:rowOff>
    </xdr:from>
    <xdr:to>
      <xdr:col>19</xdr:col>
      <xdr:colOff>217713</xdr:colOff>
      <xdr:row>15</xdr:row>
      <xdr:rowOff>136071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3D64918-B7C0-79E5-757E-C9E4C099FD0B}"/>
            </a:ext>
          </a:extLst>
        </xdr:cNvPr>
        <xdr:cNvSpPr txBox="1"/>
      </xdr:nvSpPr>
      <xdr:spPr>
        <a:xfrm>
          <a:off x="6531428" y="2249714"/>
          <a:ext cx="394607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3"/>
              </a:solidFill>
            </a:rPr>
            <a:t>Average</a:t>
          </a:r>
          <a:r>
            <a:rPr lang="en-US" sz="2000" b="1" baseline="0">
              <a:solidFill>
                <a:schemeClr val="accent3"/>
              </a:solidFill>
            </a:rPr>
            <a:t> Performance By Employee</a:t>
          </a:r>
          <a:endParaRPr lang="en-US" sz="2000" b="1">
            <a:solidFill>
              <a:schemeClr val="accent3"/>
            </a:solidFill>
          </a:endParaRPr>
        </a:p>
      </xdr:txBody>
    </xdr:sp>
    <xdr:clientData/>
  </xdr:twoCellAnchor>
  <xdr:twoCellAnchor>
    <xdr:from>
      <xdr:col>22</xdr:col>
      <xdr:colOff>90714</xdr:colOff>
      <xdr:row>15</xdr:row>
      <xdr:rowOff>99786</xdr:rowOff>
    </xdr:from>
    <xdr:to>
      <xdr:col>30</xdr:col>
      <xdr:colOff>616857</xdr:colOff>
      <xdr:row>24</xdr:row>
      <xdr:rowOff>27214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64B4A240-06F7-435F-9ECC-DB585C6B6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22</xdr:col>
      <xdr:colOff>526142</xdr:colOff>
      <xdr:row>13</xdr:row>
      <xdr:rowOff>145142</xdr:rowOff>
    </xdr:from>
    <xdr:to>
      <xdr:col>28</xdr:col>
      <xdr:colOff>99785</xdr:colOff>
      <xdr:row>15</xdr:row>
      <xdr:rowOff>145141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19DEB94-56B1-70ED-0696-CEDC236BD06F}"/>
            </a:ext>
          </a:extLst>
        </xdr:cNvPr>
        <xdr:cNvSpPr txBox="1"/>
      </xdr:nvSpPr>
      <xdr:spPr>
        <a:xfrm>
          <a:off x="12083142" y="2295071"/>
          <a:ext cx="2911929" cy="344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3"/>
              </a:solidFill>
            </a:rPr>
            <a:t>Department Comparison</a:t>
          </a:r>
        </a:p>
      </xdr:txBody>
    </xdr:sp>
    <xdr:clientData/>
  </xdr:twoCellAnchor>
  <xdr:twoCellAnchor>
    <xdr:from>
      <xdr:col>1</xdr:col>
      <xdr:colOff>36286</xdr:colOff>
      <xdr:row>26</xdr:row>
      <xdr:rowOff>99786</xdr:rowOff>
    </xdr:from>
    <xdr:to>
      <xdr:col>11</xdr:col>
      <xdr:colOff>562429</xdr:colOff>
      <xdr:row>36</xdr:row>
      <xdr:rowOff>63500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84C40770-4582-4B41-B6D1-0E06E4BE7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6</xdr:col>
      <xdr:colOff>571500</xdr:colOff>
      <xdr:row>39</xdr:row>
      <xdr:rowOff>63500</xdr:rowOff>
    </xdr:from>
    <xdr:to>
      <xdr:col>8</xdr:col>
      <xdr:colOff>163287</xdr:colOff>
      <xdr:row>40</xdr:row>
      <xdr:rowOff>136075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09778C1-96CB-346D-D020-807CA7FA29A5}"/>
            </a:ext>
          </a:extLst>
        </xdr:cNvPr>
        <xdr:cNvSpPr txBox="1"/>
      </xdr:nvSpPr>
      <xdr:spPr>
        <a:xfrm>
          <a:off x="3556000" y="6694714"/>
          <a:ext cx="916216" cy="2449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399143</xdr:colOff>
      <xdr:row>24</xdr:row>
      <xdr:rowOff>63500</xdr:rowOff>
    </xdr:from>
    <xdr:to>
      <xdr:col>6</xdr:col>
      <xdr:colOff>27213</xdr:colOff>
      <xdr:row>26</xdr:row>
      <xdr:rowOff>72572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15F5B35-06E3-2C07-3B38-04DC909D5933}"/>
            </a:ext>
          </a:extLst>
        </xdr:cNvPr>
        <xdr:cNvSpPr txBox="1"/>
      </xdr:nvSpPr>
      <xdr:spPr>
        <a:xfrm>
          <a:off x="480786" y="4109357"/>
          <a:ext cx="2530927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3"/>
              </a:solidFill>
            </a:rPr>
            <a:t>Revenue By Location</a:t>
          </a:r>
        </a:p>
      </xdr:txBody>
    </xdr:sp>
    <xdr:clientData/>
  </xdr:twoCellAnchor>
  <xdr:twoCellAnchor>
    <xdr:from>
      <xdr:col>12</xdr:col>
      <xdr:colOff>226786</xdr:colOff>
      <xdr:row>26</xdr:row>
      <xdr:rowOff>9073</xdr:rowOff>
    </xdr:from>
    <xdr:to>
      <xdr:col>30</xdr:col>
      <xdr:colOff>571501</xdr:colOff>
      <xdr:row>36</xdr:row>
      <xdr:rowOff>154214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F90F1E85-F94A-4712-8F6C-A555C7BF7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21</xdr:col>
      <xdr:colOff>81642</xdr:colOff>
      <xdr:row>24</xdr:row>
      <xdr:rowOff>54429</xdr:rowOff>
    </xdr:from>
    <xdr:to>
      <xdr:col>24</xdr:col>
      <xdr:colOff>353786</xdr:colOff>
      <xdr:row>26</xdr:row>
      <xdr:rowOff>90714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D5904F7-6F70-C413-D0AD-2437DA814DFD}"/>
            </a:ext>
          </a:extLst>
        </xdr:cNvPr>
        <xdr:cNvSpPr txBox="1"/>
      </xdr:nvSpPr>
      <xdr:spPr>
        <a:xfrm flipH="1">
          <a:off x="10985499" y="4100286"/>
          <a:ext cx="2267858" cy="380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accent3"/>
              </a:solidFill>
            </a:rPr>
            <a:t>The</a:t>
          </a:r>
          <a:r>
            <a:rPr lang="en-US" sz="2000" b="1" baseline="0">
              <a:solidFill>
                <a:schemeClr val="accent3"/>
              </a:solidFill>
            </a:rPr>
            <a:t> Employee</a:t>
          </a:r>
          <a:endParaRPr lang="en-US" sz="2000" b="1">
            <a:solidFill>
              <a:schemeClr val="accent3"/>
            </a:solidFill>
          </a:endParaRPr>
        </a:p>
      </xdr:txBody>
    </xdr:sp>
    <xdr:clientData/>
  </xdr:twoCellAnchor>
  <xdr:twoCellAnchor>
    <xdr:from>
      <xdr:col>11</xdr:col>
      <xdr:colOff>335643</xdr:colOff>
      <xdr:row>13</xdr:row>
      <xdr:rowOff>27213</xdr:rowOff>
    </xdr:from>
    <xdr:to>
      <xdr:col>12</xdr:col>
      <xdr:colOff>278331</xdr:colOff>
      <xdr:row>16</xdr:row>
      <xdr:rowOff>164958</xdr:rowOff>
    </xdr:to>
    <xdr:pic>
      <xdr:nvPicPr>
        <xdr:cNvPr id="103" name="Graphic 102" descr="Users with solid fill">
          <a:extLst>
            <a:ext uri="{FF2B5EF4-FFF2-40B4-BE49-F238E27FC236}">
              <a16:creationId xmlns:a16="http://schemas.microsoft.com/office/drawing/2014/main" id="{9993161F-54A0-4708-96F8-AEB6112DD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969000" y="2177142"/>
          <a:ext cx="595831" cy="654816"/>
        </a:xfrm>
        <a:prstGeom prst="rect">
          <a:avLst/>
        </a:prstGeom>
      </xdr:spPr>
    </xdr:pic>
    <xdr:clientData/>
  </xdr:twoCellAnchor>
  <xdr:twoCellAnchor editAs="oneCell">
    <xdr:from>
      <xdr:col>0</xdr:col>
      <xdr:colOff>72572</xdr:colOff>
      <xdr:row>24</xdr:row>
      <xdr:rowOff>54429</xdr:rowOff>
    </xdr:from>
    <xdr:to>
      <xdr:col>1</xdr:col>
      <xdr:colOff>508000</xdr:colOff>
      <xdr:row>27</xdr:row>
      <xdr:rowOff>54428</xdr:rowOff>
    </xdr:to>
    <xdr:pic>
      <xdr:nvPicPr>
        <xdr:cNvPr id="104" name="Graphic 103" descr="Marker with solid fill">
          <a:extLst>
            <a:ext uri="{FF2B5EF4-FFF2-40B4-BE49-F238E27FC236}">
              <a16:creationId xmlns:a16="http://schemas.microsoft.com/office/drawing/2014/main" id="{D24016EA-F3DB-439C-A4E0-A30687935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72572" y="4100286"/>
          <a:ext cx="517071" cy="517071"/>
        </a:xfrm>
        <a:prstGeom prst="rect">
          <a:avLst/>
        </a:prstGeom>
      </xdr:spPr>
    </xdr:pic>
    <xdr:clientData/>
  </xdr:twoCellAnchor>
  <xdr:twoCellAnchor>
    <xdr:from>
      <xdr:col>19</xdr:col>
      <xdr:colOff>281215</xdr:colOff>
      <xdr:row>24</xdr:row>
      <xdr:rowOff>18143</xdr:rowOff>
    </xdr:from>
    <xdr:to>
      <xdr:col>21</xdr:col>
      <xdr:colOff>140655</xdr:colOff>
      <xdr:row>27</xdr:row>
      <xdr:rowOff>54428</xdr:rowOff>
    </xdr:to>
    <xdr:pic>
      <xdr:nvPicPr>
        <xdr:cNvPr id="105" name="Graphic 104" descr="Users with solid fill">
          <a:extLst>
            <a:ext uri="{FF2B5EF4-FFF2-40B4-BE49-F238E27FC236}">
              <a16:creationId xmlns:a16="http://schemas.microsoft.com/office/drawing/2014/main" id="{1D6ED01F-AF42-426B-9256-C062922A1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541001" y="4064000"/>
          <a:ext cx="503511" cy="553357"/>
        </a:xfrm>
        <a:prstGeom prst="rect">
          <a:avLst/>
        </a:prstGeom>
      </xdr:spPr>
    </xdr:pic>
    <xdr:clientData/>
  </xdr:twoCellAnchor>
  <xdr:twoCellAnchor editAs="oneCell">
    <xdr:from>
      <xdr:col>22</xdr:col>
      <xdr:colOff>63501</xdr:colOff>
      <xdr:row>13</xdr:row>
      <xdr:rowOff>117928</xdr:rowOff>
    </xdr:from>
    <xdr:to>
      <xdr:col>22</xdr:col>
      <xdr:colOff>580573</xdr:colOff>
      <xdr:row>16</xdr:row>
      <xdr:rowOff>117929</xdr:rowOff>
    </xdr:to>
    <xdr:pic>
      <xdr:nvPicPr>
        <xdr:cNvPr id="107" name="Graphic 106" descr="Bar graph with upward trend with solid fill">
          <a:extLst>
            <a:ext uri="{FF2B5EF4-FFF2-40B4-BE49-F238E27FC236}">
              <a16:creationId xmlns:a16="http://schemas.microsoft.com/office/drawing/2014/main" id="{1B9E7CA2-014C-CEB4-FBC0-F923F61F7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96DAC541-7B7A-43D3-8B79-37D633B846F1}">
              <asvg:svgBlip xmlns:asvg="http://schemas.microsoft.com/office/drawing/2016/SVG/main" r:embed="rId39"/>
            </a:ext>
          </a:extLst>
        </a:blip>
        <a:stretch>
          <a:fillRect/>
        </a:stretch>
      </xdr:blipFill>
      <xdr:spPr>
        <a:xfrm>
          <a:off x="11620501" y="2267857"/>
          <a:ext cx="517072" cy="517072"/>
        </a:xfrm>
        <a:prstGeom prst="rect">
          <a:avLst/>
        </a:prstGeom>
      </xdr:spPr>
    </xdr:pic>
    <xdr:clientData/>
  </xdr:twoCellAnchor>
  <xdr:twoCellAnchor editAs="oneCell">
    <xdr:from>
      <xdr:col>0</xdr:col>
      <xdr:colOff>23000</xdr:colOff>
      <xdr:row>13</xdr:row>
      <xdr:rowOff>59285</xdr:rowOff>
    </xdr:from>
    <xdr:to>
      <xdr:col>1</xdr:col>
      <xdr:colOff>498928</xdr:colOff>
      <xdr:row>16</xdr:row>
      <xdr:rowOff>99785</xdr:rowOff>
    </xdr:to>
    <xdr:pic>
      <xdr:nvPicPr>
        <xdr:cNvPr id="109" name="Graphic 108" descr="Statistics with solid fill">
          <a:extLst>
            <a:ext uri="{FF2B5EF4-FFF2-40B4-BE49-F238E27FC236}">
              <a16:creationId xmlns:a16="http://schemas.microsoft.com/office/drawing/2014/main" id="{359E7742-A368-9974-8F76-4AB14E2C6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96DAC541-7B7A-43D3-8B79-37D633B846F1}">
              <asvg:svgBlip xmlns:asvg="http://schemas.microsoft.com/office/drawing/2016/SVG/main" r:embed="rId41"/>
            </a:ext>
          </a:extLst>
        </a:blip>
        <a:stretch>
          <a:fillRect/>
        </a:stretch>
      </xdr:blipFill>
      <xdr:spPr>
        <a:xfrm>
          <a:off x="23000" y="2209214"/>
          <a:ext cx="557571" cy="557571"/>
        </a:xfrm>
        <a:prstGeom prst="rect">
          <a:avLst/>
        </a:prstGeom>
      </xdr:spPr>
    </xdr:pic>
    <xdr:clientData/>
  </xdr:twoCellAnchor>
  <xdr:twoCellAnchor>
    <xdr:from>
      <xdr:col>1</xdr:col>
      <xdr:colOff>9071</xdr:colOff>
      <xdr:row>0</xdr:row>
      <xdr:rowOff>45357</xdr:rowOff>
    </xdr:from>
    <xdr:to>
      <xdr:col>30</xdr:col>
      <xdr:colOff>644071</xdr:colOff>
      <xdr:row>3</xdr:row>
      <xdr:rowOff>18143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1914F43-82A3-0205-D6AC-C8D00CB37135}"/>
            </a:ext>
          </a:extLst>
        </xdr:cNvPr>
        <xdr:cNvSpPr/>
      </xdr:nvSpPr>
      <xdr:spPr>
        <a:xfrm>
          <a:off x="90714" y="45357"/>
          <a:ext cx="16845643" cy="48985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18143</xdr:colOff>
          <xdr:row>9</xdr:row>
          <xdr:rowOff>9073</xdr:rowOff>
        </xdr:from>
        <xdr:to>
          <xdr:col>42</xdr:col>
          <xdr:colOff>689429</xdr:colOff>
          <xdr:row>9</xdr:row>
          <xdr:rowOff>181430</xdr:rowOff>
        </xdr:to>
        <xdr:pic>
          <xdr:nvPicPr>
            <xdr:cNvPr id="112" name="Picture 111">
              <a:extLst>
                <a:ext uri="{FF2B5EF4-FFF2-40B4-BE49-F238E27FC236}">
                  <a16:creationId xmlns:a16="http://schemas.microsoft.com/office/drawing/2014/main" id="{0B91EBEE-C97A-CE08-31B6-A2B97D4F21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P$11" spid="_x0000_s1178"/>
                </a:ext>
              </a:extLst>
            </xdr:cNvPicPr>
          </xdr:nvPicPr>
          <xdr:blipFill>
            <a:blip xmlns:r="http://schemas.openxmlformats.org/officeDocument/2006/relationships" r:embed="rId42"/>
            <a:srcRect/>
            <a:stretch>
              <a:fillRect/>
            </a:stretch>
          </xdr:blipFill>
          <xdr:spPr bwMode="auto">
            <a:xfrm>
              <a:off x="24393072" y="1415144"/>
              <a:ext cx="671286" cy="1723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42</xdr:col>
          <xdr:colOff>9071</xdr:colOff>
          <xdr:row>12</xdr:row>
          <xdr:rowOff>136072</xdr:rowOff>
        </xdr:from>
        <xdr:to>
          <xdr:col>43</xdr:col>
          <xdr:colOff>16690</xdr:colOff>
          <xdr:row>13</xdr:row>
          <xdr:rowOff>143691</xdr:rowOff>
        </xdr:to>
        <xdr:pic>
          <xdr:nvPicPr>
            <xdr:cNvPr id="114" name="Picture 113">
              <a:extLst>
                <a:ext uri="{FF2B5EF4-FFF2-40B4-BE49-F238E27FC236}">
                  <a16:creationId xmlns:a16="http://schemas.microsoft.com/office/drawing/2014/main" id="{E215A0A8-A515-0CC1-C68E-068EAE8FBE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Q$11" spid="_x0000_s1179"/>
                </a:ext>
              </a:extLst>
            </xdr:cNvPicPr>
          </xdr:nvPicPr>
          <xdr:blipFill>
            <a:blip xmlns:r="http://schemas.openxmlformats.org/officeDocument/2006/relationships" r:embed="rId43"/>
            <a:srcRect/>
            <a:stretch>
              <a:fillRect/>
            </a:stretch>
          </xdr:blipFill>
          <xdr:spPr bwMode="auto">
            <a:xfrm>
              <a:off x="24384000" y="2113643"/>
              <a:ext cx="715191" cy="17997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0</xdr:colOff>
          <xdr:row>12</xdr:row>
          <xdr:rowOff>0</xdr:rowOff>
        </xdr:from>
        <xdr:to>
          <xdr:col>45</xdr:col>
          <xdr:colOff>36285</xdr:colOff>
          <xdr:row>13</xdr:row>
          <xdr:rowOff>-1</xdr:rowOff>
        </xdr:to>
        <xdr:pic>
          <xdr:nvPicPr>
            <xdr:cNvPr id="119" name="Picture 118">
              <a:extLst>
                <a:ext uri="{FF2B5EF4-FFF2-40B4-BE49-F238E27FC236}">
                  <a16:creationId xmlns:a16="http://schemas.microsoft.com/office/drawing/2014/main" id="{EAE4550A-E2EE-47B4-9866-EEDE9703C9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Q$9" spid="_x0000_s1180"/>
                </a:ext>
              </a:extLst>
            </xdr:cNvPicPr>
          </xdr:nvPicPr>
          <xdr:blipFill>
            <a:blip xmlns:r="http://schemas.openxmlformats.org/officeDocument/2006/relationships" r:embed="rId44"/>
            <a:srcRect/>
            <a:stretch>
              <a:fillRect/>
            </a:stretch>
          </xdr:blipFill>
          <xdr:spPr bwMode="auto">
            <a:xfrm>
              <a:off x="25808214" y="1977571"/>
              <a:ext cx="707571" cy="1723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562428</xdr:colOff>
          <xdr:row>10</xdr:row>
          <xdr:rowOff>117929</xdr:rowOff>
        </xdr:from>
        <xdr:to>
          <xdr:col>2</xdr:col>
          <xdr:colOff>462642</xdr:colOff>
          <xdr:row>11</xdr:row>
          <xdr:rowOff>117929</xdr:rowOff>
        </xdr:to>
        <xdr:pic>
          <xdr:nvPicPr>
            <xdr:cNvPr id="123" name="Picture 122">
              <a:extLst>
                <a:ext uri="{FF2B5EF4-FFF2-40B4-BE49-F238E27FC236}">
                  <a16:creationId xmlns:a16="http://schemas.microsoft.com/office/drawing/2014/main" id="{79B262C2-C877-5105-9209-706FC0D8226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Q$9" spid="_x0000_s1181"/>
                </a:ext>
              </a:extLst>
            </xdr:cNvPicPr>
          </xdr:nvPicPr>
          <xdr:blipFill>
            <a:blip xmlns:r="http://schemas.openxmlformats.org/officeDocument/2006/relationships" r:embed="rId45"/>
            <a:srcRect/>
            <a:stretch>
              <a:fillRect/>
            </a:stretch>
          </xdr:blipFill>
          <xdr:spPr bwMode="auto">
            <a:xfrm>
              <a:off x="644071" y="1750786"/>
              <a:ext cx="707571" cy="17235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16</xdr:col>
      <xdr:colOff>0</xdr:colOff>
      <xdr:row>49</xdr:row>
      <xdr:rowOff>0</xdr:rowOff>
    </xdr:from>
    <xdr:to>
      <xdr:col>17</xdr:col>
      <xdr:colOff>76200</xdr:colOff>
      <xdr:row>50</xdr:row>
      <xdr:rowOff>7620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5974D4F-2E23-3331-ED5F-0C0D522D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660" y="8473440"/>
          <a:ext cx="7315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62049</xdr:colOff>
      <xdr:row>20</xdr:row>
      <xdr:rowOff>7619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DDBD117-BC81-4FCD-825F-46870491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36929" y="3184071"/>
          <a:ext cx="733334" cy="179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44</xdr:col>
      <xdr:colOff>0</xdr:colOff>
      <xdr:row>19</xdr:row>
      <xdr:rowOff>0</xdr:rowOff>
    </xdr:from>
    <xdr:ext cx="733334" cy="179977"/>
    <xdr:pic>
      <xdr:nvPicPr>
        <xdr:cNvPr id="130" name="Picture 129">
          <a:extLst>
            <a:ext uri="{FF2B5EF4-FFF2-40B4-BE49-F238E27FC236}">
              <a16:creationId xmlns:a16="http://schemas.microsoft.com/office/drawing/2014/main" id="{9547618E-CBAB-4C5E-9124-10A3BDF8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08214" y="3184071"/>
          <a:ext cx="733334" cy="179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780142</xdr:colOff>
      <xdr:row>0</xdr:row>
      <xdr:rowOff>0</xdr:rowOff>
    </xdr:from>
    <xdr:to>
      <xdr:col>12</xdr:col>
      <xdr:colOff>181427</xdr:colOff>
      <xdr:row>2</xdr:row>
      <xdr:rowOff>154214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32819CA-30FC-7A0B-EA44-F1E53370A66B}"/>
            </a:ext>
          </a:extLst>
        </xdr:cNvPr>
        <xdr:cNvSpPr txBox="1"/>
      </xdr:nvSpPr>
      <xdr:spPr>
        <a:xfrm>
          <a:off x="861785" y="0"/>
          <a:ext cx="5660571" cy="498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accent3">
                  <a:lumMod val="75000"/>
                </a:schemeClr>
              </a:solidFill>
            </a:rPr>
            <a:t>Employee</a:t>
          </a:r>
          <a:r>
            <a:rPr lang="en-US" sz="2800" b="1" baseline="0">
              <a:solidFill>
                <a:schemeClr val="accent3">
                  <a:lumMod val="75000"/>
                </a:schemeClr>
              </a:solidFill>
            </a:rPr>
            <a:t> Performance Dashbourd</a:t>
          </a:r>
          <a:endParaRPr lang="en-US" sz="2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27</xdr:col>
      <xdr:colOff>607787</xdr:colOff>
      <xdr:row>0</xdr:row>
      <xdr:rowOff>0</xdr:rowOff>
    </xdr:from>
    <xdr:to>
      <xdr:col>28</xdr:col>
      <xdr:colOff>535216</xdr:colOff>
      <xdr:row>4</xdr:row>
      <xdr:rowOff>18143</xdr:rowOff>
    </xdr:to>
    <xdr:pic>
      <xdr:nvPicPr>
        <xdr:cNvPr id="133" name="Graphic 132" descr="Newspaper with solid fill">
          <a:extLst>
            <a:ext uri="{FF2B5EF4-FFF2-40B4-BE49-F238E27FC236}">
              <a16:creationId xmlns:a16="http://schemas.microsoft.com/office/drawing/2014/main" id="{B47C05DE-837E-27EE-2F57-00D5C492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96DAC541-7B7A-43D3-8B79-37D633B846F1}">
              <asvg:svgBlip xmlns:asvg="http://schemas.microsoft.com/office/drawing/2016/SVG/main" r:embed="rId49"/>
            </a:ext>
          </a:extLst>
        </a:blip>
        <a:stretch>
          <a:fillRect/>
        </a:stretch>
      </xdr:blipFill>
      <xdr:spPr>
        <a:xfrm>
          <a:off x="14886216" y="0"/>
          <a:ext cx="598714" cy="598714"/>
        </a:xfrm>
        <a:prstGeom prst="rect">
          <a:avLst/>
        </a:prstGeom>
      </xdr:spPr>
    </xdr:pic>
    <xdr:clientData/>
  </xdr:twoCellAnchor>
  <xdr:twoCellAnchor editAs="oneCell">
    <xdr:from>
      <xdr:col>1</xdr:col>
      <xdr:colOff>113713</xdr:colOff>
      <xdr:row>0</xdr:row>
      <xdr:rowOff>0</xdr:rowOff>
    </xdr:from>
    <xdr:to>
      <xdr:col>1</xdr:col>
      <xdr:colOff>716642</xdr:colOff>
      <xdr:row>3</xdr:row>
      <xdr:rowOff>36286</xdr:rowOff>
    </xdr:to>
    <xdr:pic>
      <xdr:nvPicPr>
        <xdr:cNvPr id="135" name="Graphic 134" descr="Presentation with bar chart with solid fill">
          <a:extLst>
            <a:ext uri="{FF2B5EF4-FFF2-40B4-BE49-F238E27FC236}">
              <a16:creationId xmlns:a16="http://schemas.microsoft.com/office/drawing/2014/main" id="{8174D83E-9E73-F803-9AF1-388F2163E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96DAC541-7B7A-43D3-8B79-37D633B846F1}">
              <asvg:svgBlip xmlns:asvg="http://schemas.microsoft.com/office/drawing/2016/SVG/main" r:embed="rId51"/>
            </a:ext>
          </a:extLst>
        </a:blip>
        <a:stretch>
          <a:fillRect/>
        </a:stretch>
      </xdr:blipFill>
      <xdr:spPr>
        <a:xfrm>
          <a:off x="195356" y="0"/>
          <a:ext cx="602929" cy="553357"/>
        </a:xfrm>
        <a:prstGeom prst="rect">
          <a:avLst/>
        </a:prstGeom>
      </xdr:spPr>
    </xdr:pic>
    <xdr:clientData/>
  </xdr:twoCellAnchor>
  <xdr:twoCellAnchor>
    <xdr:from>
      <xdr:col>28</xdr:col>
      <xdr:colOff>508001</xdr:colOff>
      <xdr:row>0</xdr:row>
      <xdr:rowOff>36285</xdr:rowOff>
    </xdr:from>
    <xdr:to>
      <xdr:col>30</xdr:col>
      <xdr:colOff>508001</xdr:colOff>
      <xdr:row>3</xdr:row>
      <xdr:rowOff>0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4416151-E57F-CEB7-A44F-CF4997384DAF}"/>
            </a:ext>
          </a:extLst>
        </xdr:cNvPr>
        <xdr:cNvSpPr txBox="1"/>
      </xdr:nvSpPr>
      <xdr:spPr>
        <a:xfrm>
          <a:off x="15457715" y="36285"/>
          <a:ext cx="1342572" cy="480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accent3">
                  <a:lumMod val="75000"/>
                </a:schemeClr>
              </a:solidFill>
            </a:rPr>
            <a:t>Poeple</a:t>
          </a:r>
          <a:r>
            <a:rPr lang="en-US" sz="1100" baseline="0">
              <a:solidFill>
                <a:schemeClr val="accent3">
                  <a:lumMod val="75000"/>
                </a:schemeClr>
              </a:solidFill>
            </a:rPr>
            <a:t> Performans</a:t>
          </a:r>
          <a:br>
            <a:rPr lang="en-US" sz="1100" baseline="0">
              <a:solidFill>
                <a:schemeClr val="accent3">
                  <a:lumMod val="75000"/>
                </a:schemeClr>
              </a:solidFill>
            </a:rPr>
          </a:br>
          <a:r>
            <a:rPr lang="en-US" sz="1100" baseline="0">
              <a:solidFill>
                <a:schemeClr val="accent3">
                  <a:lumMod val="75000"/>
                </a:schemeClr>
              </a:solidFill>
            </a:rPr>
            <a:t>Stronget Tomorrow</a:t>
          </a:r>
          <a:endParaRPr lang="en-US" sz="110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377190</xdr:colOff>
      <xdr:row>5</xdr:row>
      <xdr:rowOff>140970</xdr:rowOff>
    </xdr:from>
    <xdr:to>
      <xdr:col>19</xdr:col>
      <xdr:colOff>255270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3D09F-0E40-3069-7DCD-ADD135CD5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339090</xdr:colOff>
      <xdr:row>19</xdr:row>
      <xdr:rowOff>49530</xdr:rowOff>
    </xdr:from>
    <xdr:to>
      <xdr:col>25</xdr:col>
      <xdr:colOff>361950</xdr:colOff>
      <xdr:row>34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EED55-F27D-1320-AC7D-75BB4D712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571500</xdr:colOff>
      <xdr:row>23</xdr:row>
      <xdr:rowOff>125730</xdr:rowOff>
    </xdr:from>
    <xdr:to>
      <xdr:col>34</xdr:col>
      <xdr:colOff>121920</xdr:colOff>
      <xdr:row>39</xdr:row>
      <xdr:rowOff>64770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4E2189-BEBD-C8DD-E37B-A3BB59156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605790</xdr:colOff>
      <xdr:row>15</xdr:row>
      <xdr:rowOff>102870</xdr:rowOff>
    </xdr:from>
    <xdr:to>
      <xdr:col>42</xdr:col>
      <xdr:colOff>544830</xdr:colOff>
      <xdr:row>31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20E69C-15EF-89BC-169E-BE4017E05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262890</xdr:colOff>
      <xdr:row>26</xdr:row>
      <xdr:rowOff>11430</xdr:rowOff>
    </xdr:from>
    <xdr:to>
      <xdr:col>53</xdr:col>
      <xdr:colOff>361950</xdr:colOff>
      <xdr:row>41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F08B6E-6E65-13E7-54D9-5DBDA2F57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lden-Tech" refreshedDate="46316.76644965278" createdVersion="8" refreshedVersion="8" minRefreshableVersion="3" recordCount="1000" xr:uid="{E34098ED-38BB-4151-A1F7-24C85E1EBB63}">
  <cacheSource type="worksheet">
    <worksheetSource name="table"/>
  </cacheSource>
  <cacheFields count="18">
    <cacheField name="Record ID" numFmtId="0">
      <sharedItems/>
    </cacheField>
    <cacheField name="Date" numFmtId="164">
      <sharedItems containsSemiMixedTypes="0" containsNonDate="0" containsDate="1" containsString="0" minDate="2024-01-01T00:00:00" maxDate="2026-09-01T00:00:00"/>
    </cacheField>
    <cacheField name="Month" numFmtId="165">
      <sharedItems containsSemiMixedTypes="0" containsNonDate="0" containsDate="1" containsString="0" minDate="2024-01-01T00:00:00" maxDate="2026-08-02T00:00:00" count="3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</sharedItems>
      <fieldGroup par="17"/>
    </cacheField>
    <cacheField name="Employee ID" numFmtId="0">
      <sharedItems count="6">
        <s v="EMP001"/>
        <s v="EMP002"/>
        <s v="EMP003"/>
        <s v="EMP005"/>
        <s v="EMP006"/>
        <s v="EMP004"/>
      </sharedItems>
    </cacheField>
    <cacheField name="Employee Name" numFmtId="0">
      <sharedItems count="6">
        <s v="Ahmed Hassan"/>
        <s v="Sara Ali"/>
        <s v="Omar Khaled"/>
        <s v="Youssef Ibrahim"/>
        <s v="Nour Mohamed"/>
        <s v="Mariam Adel"/>
      </sharedItems>
    </cacheField>
    <cacheField name="Department" numFmtId="0">
      <sharedItems count="3">
        <s v="Sales"/>
        <s v="Operations"/>
        <s v="Customer Experience"/>
      </sharedItems>
    </cacheField>
    <cacheField name="Team" numFmtId="0">
      <sharedItems count="3">
        <s v="Enterprise Sales"/>
        <s v="Service Delivery"/>
        <s v="Customer Success"/>
      </sharedItems>
    </cacheField>
    <cacheField name="Location" numFmtId="0">
      <sharedItems count="3">
        <s v="Dubai"/>
        <s v="Abu Dhabi"/>
        <s v="Sharjah"/>
      </sharedItems>
    </cacheField>
    <cacheField name="Target Tasks" numFmtId="1">
      <sharedItems containsSemiMixedTypes="0" containsString="0" containsNumber="1" containsInteger="1" minValue="28" maxValue="55"/>
    </cacheField>
    <cacheField name="Completed Tasks" numFmtId="1">
      <sharedItems containsSemiMixedTypes="0" containsString="0" containsNumber="1" containsInteger="1" minValue="24" maxValue="67"/>
    </cacheField>
    <cacheField name="Quality Score" numFmtId="166">
      <sharedItems containsSemiMixedTypes="0" containsString="0" containsNumber="1" minValue="0.82772789754915232" maxValue="0.995"/>
    </cacheField>
    <cacheField name="Attendance Rate" numFmtId="166">
      <sharedItems containsSemiMixedTypes="0" containsString="0" containsNumber="1" minValue="0.89037327654875265" maxValue="1"/>
    </cacheField>
    <cacheField name="Customer Satisfaction" numFmtId="166">
      <sharedItems containsSemiMixedTypes="0" containsString="0" containsNumber="1" minValue="0.82484560433886278" maxValue="0.995"/>
    </cacheField>
    <cacheField name="Revenue (AED)" numFmtId="167">
      <sharedItems containsSemiMixedTypes="0" containsString="0" containsNumber="1" containsInteger="1" minValue="9390" maxValue="42720"/>
    </cacheField>
    <cacheField name="Performance Score" numFmtId="166">
      <sharedItems containsSemiMixedTypes="0" containsString="0" containsNumber="1" minValue="0.82790267102751569" maxValue="1.0669086712162699"/>
    </cacheField>
    <cacheField name="Months (Month)" numFmtId="0" databaseField="0">
      <fieldGroup base="2">
        <rangePr groupBy="months" startDate="2024-01-01T00:00:00" endDate="2026-08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26"/>
        </groupItems>
      </fieldGroup>
    </cacheField>
    <cacheField name="Quarters (Month)" numFmtId="0" databaseField="0">
      <fieldGroup base="2">
        <rangePr groupBy="quarters" startDate="2024-01-01T00:00:00" endDate="2026-08-02T00:00:00"/>
        <groupItems count="6">
          <s v="&lt;1/1/2024"/>
          <s v="Qtr1"/>
          <s v="Qtr2"/>
          <s v="Qtr3"/>
          <s v="Qtr4"/>
          <s v="&gt;8/2/2026"/>
        </groupItems>
      </fieldGroup>
    </cacheField>
    <cacheField name="Years (Month)" numFmtId="0" databaseField="0">
      <fieldGroup base="2">
        <rangePr groupBy="years" startDate="2024-01-01T00:00:00" endDate="2026-08-02T00:00:00"/>
        <groupItems count="5">
          <s v="&lt;1/1/2024"/>
          <s v="2024"/>
          <s v="2025"/>
          <s v="2026"/>
          <s v="&gt;8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REC-0001"/>
    <d v="2024-01-01T00:00:00"/>
    <x v="0"/>
    <x v="0"/>
    <x v="0"/>
    <x v="0"/>
    <x v="0"/>
    <x v="0"/>
    <n v="38"/>
    <n v="42"/>
    <n v="0.93172764058714697"/>
    <n v="0.9895123122148568"/>
    <n v="0.96136050230160208"/>
    <n v="26850"/>
    <n v="1.0157361205972304"/>
  </r>
  <r>
    <s v="REC-0002"/>
    <d v="2024-01-02T00:00:00"/>
    <x v="0"/>
    <x v="1"/>
    <x v="1"/>
    <x v="0"/>
    <x v="0"/>
    <x v="1"/>
    <n v="55"/>
    <n v="51"/>
    <n v="0.90232728734569434"/>
    <n v="0.95194406625286887"/>
    <n v="0.91905391714223372"/>
    <n v="26660"/>
    <n v="0.92309330611189155"/>
  </r>
  <r>
    <s v="REC-0003"/>
    <d v="2024-01-02T00:00:00"/>
    <x v="0"/>
    <x v="2"/>
    <x v="2"/>
    <x v="1"/>
    <x v="1"/>
    <x v="0"/>
    <n v="52"/>
    <n v="44"/>
    <n v="0.85940764616921284"/>
    <n v="0.94879676856038764"/>
    <n v="0.87747923139820061"/>
    <n v="17610"/>
    <n v="0.87112881156753996"/>
  </r>
  <r>
    <s v="REC-0004"/>
    <d v="2024-01-04T00:00:00"/>
    <x v="0"/>
    <x v="0"/>
    <x v="0"/>
    <x v="0"/>
    <x v="0"/>
    <x v="0"/>
    <n v="51"/>
    <n v="56"/>
    <n v="0.92626725912830454"/>
    <n v="0.95870708140875283"/>
    <n v="0.92993761780103334"/>
    <n v="35720"/>
    <n v="1.0005760868281055"/>
  </r>
  <r>
    <s v="REC-0005"/>
    <d v="2024-01-05T00:00:00"/>
    <x v="0"/>
    <x v="0"/>
    <x v="0"/>
    <x v="0"/>
    <x v="0"/>
    <x v="0"/>
    <n v="47"/>
    <n v="51"/>
    <n v="0.9276362121173779"/>
    <n v="0.9526510415717987"/>
    <n v="0.9137447896795835"/>
    <n v="28620"/>
    <n v="0.99159822039252032"/>
  </r>
  <r>
    <s v="REC-0006"/>
    <d v="2024-01-05T00:00:00"/>
    <x v="0"/>
    <x v="1"/>
    <x v="1"/>
    <x v="0"/>
    <x v="0"/>
    <x v="1"/>
    <n v="28"/>
    <n v="28"/>
    <n v="0.92977855360828188"/>
    <n v="0.93824672907583861"/>
    <n v="0.90403076590478493"/>
    <n v="15180"/>
    <n v="0.95398780094440339"/>
  </r>
  <r>
    <s v="REC-0007"/>
    <d v="2024-01-09T00:00:00"/>
    <x v="0"/>
    <x v="3"/>
    <x v="3"/>
    <x v="2"/>
    <x v="2"/>
    <x v="0"/>
    <n v="55"/>
    <n v="55"/>
    <n v="0.93842346297729695"/>
    <n v="0.9584400898779033"/>
    <n v="0.96565996070519478"/>
    <n v="24780"/>
    <n v="0.97150387136704874"/>
  </r>
  <r>
    <s v="REC-0008"/>
    <d v="2024-01-10T00:00:00"/>
    <x v="0"/>
    <x v="4"/>
    <x v="4"/>
    <x v="2"/>
    <x v="2"/>
    <x v="1"/>
    <n v="55"/>
    <n v="63"/>
    <n v="0.98761873154021929"/>
    <n v="0.96188981884419056"/>
    <n v="0.995"/>
    <n v="34320"/>
    <n v="1.0483699738935017"/>
  </r>
  <r>
    <s v="REC-0009"/>
    <d v="2024-01-11T00:00:00"/>
    <x v="0"/>
    <x v="3"/>
    <x v="3"/>
    <x v="2"/>
    <x v="2"/>
    <x v="0"/>
    <n v="31"/>
    <n v="30"/>
    <n v="0.95989637248878212"/>
    <n v="0.93643893081588625"/>
    <n v="0.9358062895662782"/>
    <n v="14190"/>
    <n v="0.95469796485138247"/>
  </r>
  <r>
    <s v="REC-0010"/>
    <d v="2024-01-12T00:00:00"/>
    <x v="0"/>
    <x v="5"/>
    <x v="5"/>
    <x v="1"/>
    <x v="1"/>
    <x v="2"/>
    <n v="48"/>
    <n v="53"/>
    <n v="0.93816487247412406"/>
    <n v="0.95932480564679201"/>
    <n v="0.92605972902718259"/>
    <n v="20350"/>
    <n v="1.0053185514376533"/>
  </r>
  <r>
    <s v="REC-0011"/>
    <d v="2024-01-12T00:00:00"/>
    <x v="0"/>
    <x v="5"/>
    <x v="5"/>
    <x v="1"/>
    <x v="1"/>
    <x v="2"/>
    <n v="37"/>
    <n v="40"/>
    <n v="0.93800889248782693"/>
    <n v="0.96002558446250763"/>
    <n v="0.85786199183370637"/>
    <n v="17680"/>
    <n v="0.98251089159050664"/>
  </r>
  <r>
    <s v="REC-0012"/>
    <d v="2024-01-12T00:00:00"/>
    <x v="0"/>
    <x v="3"/>
    <x v="3"/>
    <x v="2"/>
    <x v="2"/>
    <x v="0"/>
    <n v="46"/>
    <n v="43"/>
    <n v="0.95793119137108262"/>
    <n v="0.93479791340592577"/>
    <n v="0.995"/>
    <n v="18620"/>
    <n v="0.95261552833192042"/>
  </r>
  <r>
    <s v="REC-0013"/>
    <d v="2024-01-12T00:00:00"/>
    <x v="0"/>
    <x v="4"/>
    <x v="4"/>
    <x v="2"/>
    <x v="2"/>
    <x v="1"/>
    <n v="45"/>
    <n v="49"/>
    <n v="0.95028193832468089"/>
    <n v="1"/>
    <n v="0.97913581143058737"/>
    <n v="23040"/>
    <n v="1.0189532024228432"/>
  </r>
  <r>
    <s v="REC-0014"/>
    <d v="2024-01-12T00:00:00"/>
    <x v="0"/>
    <x v="4"/>
    <x v="4"/>
    <x v="2"/>
    <x v="2"/>
    <x v="1"/>
    <n v="31"/>
    <n v="37"/>
    <n v="0.95376401424669344"/>
    <n v="0.94337243142030092"/>
    <n v="0.995"/>
    <n v="16700"/>
    <n v="1.0563662231134283"/>
  </r>
  <r>
    <s v="REC-0015"/>
    <d v="2024-01-16T00:00:00"/>
    <x v="0"/>
    <x v="2"/>
    <x v="2"/>
    <x v="1"/>
    <x v="1"/>
    <x v="0"/>
    <n v="43"/>
    <n v="41"/>
    <n v="0.92562855295304258"/>
    <n v="0.95470649245732941"/>
    <n v="0.85907916250057637"/>
    <n v="15850"/>
    <n v="0.92782429344418471"/>
  </r>
  <r>
    <s v="REC-0016"/>
    <d v="2024-01-19T00:00:00"/>
    <x v="0"/>
    <x v="1"/>
    <x v="1"/>
    <x v="0"/>
    <x v="0"/>
    <x v="1"/>
    <n v="49"/>
    <n v="54"/>
    <n v="0.92114598489861643"/>
    <n v="0.96547483904257969"/>
    <n v="0.995"/>
    <n v="28410"/>
    <n v="1.0149240486116533"/>
  </r>
  <r>
    <s v="REC-0017"/>
    <d v="2024-01-19T00:00:00"/>
    <x v="0"/>
    <x v="1"/>
    <x v="1"/>
    <x v="0"/>
    <x v="0"/>
    <x v="1"/>
    <n v="34"/>
    <n v="31"/>
    <n v="0.90960225265500427"/>
    <n v="0.98773717819590456"/>
    <n v="0.92581122458831244"/>
    <n v="15170"/>
    <n v="0.92542926716374041"/>
  </r>
  <r>
    <s v="REC-0018"/>
    <d v="2024-01-19T00:00:00"/>
    <x v="0"/>
    <x v="4"/>
    <x v="4"/>
    <x v="2"/>
    <x v="2"/>
    <x v="1"/>
    <n v="39"/>
    <n v="39"/>
    <n v="0.995"/>
    <n v="0.96327677013262203"/>
    <n v="0.995"/>
    <n v="17410"/>
    <n v="0.99224151551989337"/>
  </r>
  <r>
    <s v="REC-0019"/>
    <d v="2024-01-25T00:00:00"/>
    <x v="0"/>
    <x v="1"/>
    <x v="1"/>
    <x v="0"/>
    <x v="0"/>
    <x v="1"/>
    <n v="52"/>
    <n v="47"/>
    <n v="0.98988387211219098"/>
    <n v="0.91923090725688295"/>
    <n v="0.89524631487620643"/>
    <n v="25840"/>
    <n v="0.92594332863028306"/>
  </r>
  <r>
    <s v="REC-0020"/>
    <d v="2024-01-26T00:00:00"/>
    <x v="0"/>
    <x v="0"/>
    <x v="0"/>
    <x v="0"/>
    <x v="0"/>
    <x v="0"/>
    <n v="43"/>
    <n v="48"/>
    <n v="0.95596189866878667"/>
    <n v="0.97868408907120041"/>
    <n v="0.92680578526963886"/>
    <n v="30930"/>
    <n v="1.0176658729887813"/>
  </r>
  <r>
    <s v="REC-0021"/>
    <d v="2024-01-26T00:00:00"/>
    <x v="0"/>
    <x v="2"/>
    <x v="2"/>
    <x v="1"/>
    <x v="1"/>
    <x v="0"/>
    <n v="45"/>
    <n v="43"/>
    <n v="0.93449276888616328"/>
    <n v="0.93779997701790152"/>
    <n v="0.88469064437664635"/>
    <n v="17640"/>
    <n v="0.93345353987177759"/>
  </r>
  <r>
    <s v="REC-0022"/>
    <d v="2024-01-26T00:00:00"/>
    <x v="0"/>
    <x v="3"/>
    <x v="3"/>
    <x v="2"/>
    <x v="2"/>
    <x v="0"/>
    <n v="30"/>
    <n v="29"/>
    <n v="0.96724681598843731"/>
    <n v="0.97532110106749015"/>
    <n v="0.91240292873913653"/>
    <n v="11740"/>
    <n v="0.95725712157172682"/>
  </r>
  <r>
    <s v="REC-0023"/>
    <d v="2024-01-26T00:00:00"/>
    <x v="0"/>
    <x v="4"/>
    <x v="4"/>
    <x v="2"/>
    <x v="2"/>
    <x v="1"/>
    <n v="33"/>
    <n v="30"/>
    <n v="0.97541103097790205"/>
    <n v="1"/>
    <n v="0.93597134374261515"/>
    <n v="12970"/>
    <n v="0.9446833901293622"/>
  </r>
  <r>
    <s v="REC-0024"/>
    <d v="2024-01-30T00:00:00"/>
    <x v="0"/>
    <x v="0"/>
    <x v="0"/>
    <x v="0"/>
    <x v="0"/>
    <x v="0"/>
    <n v="30"/>
    <n v="35"/>
    <n v="0.95023851215584088"/>
    <n v="0.94685818491313567"/>
    <n v="0.9118235778158903"/>
    <n v="21610"/>
    <n v="1.0286197380057753"/>
  </r>
  <r>
    <s v="REC-0025"/>
    <d v="2024-01-30T00:00:00"/>
    <x v="0"/>
    <x v="3"/>
    <x v="3"/>
    <x v="2"/>
    <x v="2"/>
    <x v="0"/>
    <n v="55"/>
    <n v="50"/>
    <n v="0.88639722408318566"/>
    <n v="0.96939295249350976"/>
    <n v="0.93762708034004305"/>
    <n v="25550"/>
    <n v="0.91817002859919516"/>
  </r>
  <r>
    <s v="REC-0026"/>
    <d v="2024-01-31T00:00:00"/>
    <x v="0"/>
    <x v="2"/>
    <x v="2"/>
    <x v="1"/>
    <x v="1"/>
    <x v="0"/>
    <n v="45"/>
    <n v="44"/>
    <n v="0.89453583889661537"/>
    <n v="0.94019524389493803"/>
    <n v="0.91260982086489251"/>
    <n v="15850"/>
    <n v="0.93829632159248422"/>
  </r>
  <r>
    <s v="REC-0027"/>
    <d v="2024-02-02T00:00:00"/>
    <x v="1"/>
    <x v="0"/>
    <x v="0"/>
    <x v="0"/>
    <x v="0"/>
    <x v="0"/>
    <n v="53"/>
    <n v="53"/>
    <n v="0.92254060530583737"/>
    <n v="0.97126055037531978"/>
    <n v="0.94634580131392965"/>
    <n v="26690"/>
    <n v="0.96559339414554335"/>
  </r>
  <r>
    <s v="REC-0028"/>
    <d v="2024-02-02T00:00:00"/>
    <x v="1"/>
    <x v="0"/>
    <x v="0"/>
    <x v="0"/>
    <x v="0"/>
    <x v="0"/>
    <n v="34"/>
    <n v="32"/>
    <n v="0.95062117141716196"/>
    <n v="0.91938656882714842"/>
    <n v="0.91985649063018948"/>
    <n v="18310"/>
    <n v="0.93600516453969473"/>
  </r>
  <r>
    <s v="REC-0029"/>
    <d v="2024-02-02T00:00:00"/>
    <x v="1"/>
    <x v="2"/>
    <x v="2"/>
    <x v="1"/>
    <x v="1"/>
    <x v="0"/>
    <n v="47"/>
    <n v="47"/>
    <n v="0.92261959276644145"/>
    <n v="0.93656460534928798"/>
    <n v="0.91120190354916475"/>
    <n v="16690"/>
    <n v="0.95337996970383654"/>
  </r>
  <r>
    <s v="REC-0030"/>
    <d v="2024-02-06T00:00:00"/>
    <x v="1"/>
    <x v="1"/>
    <x v="1"/>
    <x v="0"/>
    <x v="0"/>
    <x v="1"/>
    <n v="45"/>
    <n v="39"/>
    <n v="0.90599155813625354"/>
    <n v="0.97200393740805158"/>
    <n v="0.8829974627517998"/>
    <n v="22350"/>
    <n v="0.8955646393622978"/>
  </r>
  <r>
    <s v="REC-0031"/>
    <d v="2024-02-06T00:00:00"/>
    <x v="1"/>
    <x v="1"/>
    <x v="1"/>
    <x v="0"/>
    <x v="0"/>
    <x v="1"/>
    <n v="34"/>
    <n v="41"/>
    <n v="0.93348888494072813"/>
    <n v="0.9612910783130556"/>
    <n v="0.97672060487408385"/>
    <n v="24510"/>
    <n v="1.0529100039569572"/>
  </r>
  <r>
    <s v="REC-0032"/>
    <d v="2024-02-06T00:00:00"/>
    <x v="1"/>
    <x v="4"/>
    <x v="4"/>
    <x v="2"/>
    <x v="2"/>
    <x v="1"/>
    <n v="50"/>
    <n v="60"/>
    <n v="0.9408065177869116"/>
    <n v="0.97665724196274206"/>
    <n v="0.93558806408594886"/>
    <n v="25610"/>
    <n v="1.0488178285583289"/>
  </r>
  <r>
    <s v="REC-0033"/>
    <d v="2024-02-08T00:00:00"/>
    <x v="1"/>
    <x v="0"/>
    <x v="0"/>
    <x v="0"/>
    <x v="0"/>
    <x v="0"/>
    <n v="49"/>
    <n v="51"/>
    <n v="0.94929962681037483"/>
    <n v="0.96137572286143347"/>
    <n v="0.95359060088949943"/>
    <n v="25510"/>
    <n v="0.9885759159219536"/>
  </r>
  <r>
    <s v="REC-0034"/>
    <d v="2024-02-09T00:00:00"/>
    <x v="1"/>
    <x v="0"/>
    <x v="0"/>
    <x v="0"/>
    <x v="0"/>
    <x v="0"/>
    <n v="48"/>
    <n v="49"/>
    <n v="0.97504818766539381"/>
    <n v="0.93643922179407169"/>
    <n v="0.92319875551849606"/>
    <n v="30850"/>
    <n v="0.97720101462249187"/>
  </r>
  <r>
    <s v="REC-0035"/>
    <d v="2024-02-09T00:00:00"/>
    <x v="1"/>
    <x v="1"/>
    <x v="1"/>
    <x v="0"/>
    <x v="0"/>
    <x v="1"/>
    <n v="29"/>
    <n v="31"/>
    <n v="0.91221920361562459"/>
    <n v="0.95353997873149021"/>
    <n v="0.99152351477695333"/>
    <n v="18370"/>
    <n v="0.99697670756557211"/>
  </r>
  <r>
    <s v="REC-0036"/>
    <d v="2024-02-09T00:00:00"/>
    <x v="1"/>
    <x v="1"/>
    <x v="1"/>
    <x v="0"/>
    <x v="0"/>
    <x v="1"/>
    <n v="45"/>
    <n v="41"/>
    <n v="0.9478594654490935"/>
    <n v="0.97135907303014246"/>
    <n v="0.94591984249583572"/>
    <n v="22410"/>
    <n v="0.93629714026040634"/>
  </r>
  <r>
    <s v="REC-0037"/>
    <d v="2024-02-09T00:00:00"/>
    <x v="1"/>
    <x v="1"/>
    <x v="1"/>
    <x v="0"/>
    <x v="0"/>
    <x v="1"/>
    <n v="32"/>
    <n v="31"/>
    <n v="0.90898954485654826"/>
    <n v="0.9846533593964738"/>
    <n v="0.95580838721067674"/>
    <n v="15870"/>
    <n v="0.95360706756574354"/>
  </r>
  <r>
    <s v="REC-0038"/>
    <d v="2024-02-09T00:00:00"/>
    <x v="1"/>
    <x v="2"/>
    <x v="2"/>
    <x v="1"/>
    <x v="1"/>
    <x v="0"/>
    <n v="52"/>
    <n v="52"/>
    <n v="0.90385107308348656"/>
    <n v="0.96333863457212043"/>
    <n v="0.8581322560620962"/>
    <n v="19310"/>
    <n v="0.94209001466910902"/>
  </r>
  <r>
    <s v="REC-0039"/>
    <d v="2024-02-09T00:00:00"/>
    <x v="1"/>
    <x v="5"/>
    <x v="5"/>
    <x v="1"/>
    <x v="1"/>
    <x v="2"/>
    <n v="39"/>
    <n v="41"/>
    <n v="0.96855008044003676"/>
    <n v="1"/>
    <n v="0.94828500072972322"/>
    <n v="19110"/>
    <n v="1.0023073407687746"/>
  </r>
  <r>
    <s v="REC-0040"/>
    <d v="2024-02-12T00:00:00"/>
    <x v="1"/>
    <x v="3"/>
    <x v="3"/>
    <x v="2"/>
    <x v="2"/>
    <x v="0"/>
    <n v="31"/>
    <n v="33"/>
    <n v="0.91261323526830229"/>
    <n v="0.9784178911696122"/>
    <n v="0.93219599242068263"/>
    <n v="16910"/>
    <n v="0.98716164258955708"/>
  </r>
  <r>
    <s v="REC-0041"/>
    <d v="2024-02-13T00:00:00"/>
    <x v="1"/>
    <x v="4"/>
    <x v="4"/>
    <x v="2"/>
    <x v="2"/>
    <x v="1"/>
    <n v="34"/>
    <n v="41"/>
    <n v="0.98803503201942822"/>
    <n v="0.97373057757254677"/>
    <n v="0.96920163287765437"/>
    <n v="17900"/>
    <n v="1.0669086712162699"/>
  </r>
  <r>
    <s v="REC-0042"/>
    <d v="2024-02-14T00:00:00"/>
    <x v="1"/>
    <x v="4"/>
    <x v="4"/>
    <x v="2"/>
    <x v="2"/>
    <x v="1"/>
    <n v="51"/>
    <n v="54"/>
    <n v="0.96348183476190608"/>
    <n v="0.98644084354266615"/>
    <n v="0.96486870855194884"/>
    <n v="24720"/>
    <n v="1.0053397386969722"/>
  </r>
  <r>
    <s v="REC-0043"/>
    <d v="2024-02-16T00:00:00"/>
    <x v="1"/>
    <x v="0"/>
    <x v="0"/>
    <x v="0"/>
    <x v="0"/>
    <x v="0"/>
    <n v="55"/>
    <n v="57"/>
    <n v="0.92366594154124249"/>
    <n v="0.97588587861514342"/>
    <n v="0.90244076243026272"/>
    <n v="31880"/>
    <n v="0.97233297420908926"/>
  </r>
  <r>
    <s v="REC-0044"/>
    <d v="2024-02-16T00:00:00"/>
    <x v="1"/>
    <x v="1"/>
    <x v="1"/>
    <x v="0"/>
    <x v="0"/>
    <x v="1"/>
    <n v="40"/>
    <n v="41"/>
    <n v="0.92893441591142645"/>
    <n v="0.96296843826006429"/>
    <n v="0.97019845010483552"/>
    <n v="24780"/>
    <n v="0.98071855973783328"/>
  </r>
  <r>
    <s v="REC-0045"/>
    <d v="2024-02-16T00:00:00"/>
    <x v="1"/>
    <x v="1"/>
    <x v="1"/>
    <x v="0"/>
    <x v="0"/>
    <x v="1"/>
    <n v="38"/>
    <n v="35"/>
    <n v="0.95692597251679878"/>
    <n v="0.9660370822108354"/>
    <n v="0.98755089236303073"/>
    <n v="20450"/>
    <n v="0.95006828656501008"/>
  </r>
  <r>
    <s v="REC-0046"/>
    <d v="2024-02-16T00:00:00"/>
    <x v="1"/>
    <x v="2"/>
    <x v="2"/>
    <x v="1"/>
    <x v="1"/>
    <x v="0"/>
    <n v="31"/>
    <n v="26"/>
    <n v="0.86633358624502044"/>
    <n v="0.99123173167516887"/>
    <n v="0.89634909546688557"/>
    <n v="9390"/>
    <n v="0.88002184637364944"/>
  </r>
  <r>
    <s v="REC-0047"/>
    <d v="2024-02-16T00:00:00"/>
    <x v="1"/>
    <x v="4"/>
    <x v="4"/>
    <x v="2"/>
    <x v="2"/>
    <x v="1"/>
    <n v="40"/>
    <n v="47"/>
    <n v="0.97038249008769306"/>
    <n v="0.97035102965385422"/>
    <n v="0.98694111374641247"/>
    <n v="22100"/>
    <n v="1.055536499719284"/>
  </r>
  <r>
    <s v="REC-0048"/>
    <d v="2024-02-16T00:00:00"/>
    <x v="1"/>
    <x v="4"/>
    <x v="4"/>
    <x v="2"/>
    <x v="2"/>
    <x v="1"/>
    <n v="32"/>
    <n v="33"/>
    <n v="0.98222955094593944"/>
    <n v="1"/>
    <n v="0.995"/>
    <n v="16930"/>
    <n v="1.007057387736485"/>
  </r>
  <r>
    <s v="REC-0049"/>
    <d v="2024-02-19T00:00:00"/>
    <x v="1"/>
    <x v="1"/>
    <x v="1"/>
    <x v="0"/>
    <x v="0"/>
    <x v="1"/>
    <n v="47"/>
    <n v="52"/>
    <n v="0.9190212877277909"/>
    <n v="0.95795290170569847"/>
    <n v="0.94556801015550185"/>
    <n v="30250"/>
    <n v="1.0051150507082647"/>
  </r>
  <r>
    <s v="REC-0050"/>
    <d v="2024-02-19T00:00:00"/>
    <x v="1"/>
    <x v="5"/>
    <x v="5"/>
    <x v="1"/>
    <x v="1"/>
    <x v="2"/>
    <n v="29"/>
    <n v="30"/>
    <n v="0.98332812814016768"/>
    <n v="0.99481573602897932"/>
    <n v="0.88632922981669193"/>
    <n v="11980"/>
    <n v="0.98611334185100308"/>
  </r>
  <r>
    <s v="REC-0051"/>
    <d v="2024-02-21T00:00:00"/>
    <x v="1"/>
    <x v="4"/>
    <x v="4"/>
    <x v="2"/>
    <x v="2"/>
    <x v="1"/>
    <n v="33"/>
    <n v="38"/>
    <n v="0.9480393148759847"/>
    <n v="0.97662871561619202"/>
    <n v="0.93879448495708884"/>
    <n v="17800"/>
    <n v="1.0318690936589032"/>
  </r>
  <r>
    <s v="REC-0052"/>
    <d v="2024-02-21T00:00:00"/>
    <x v="1"/>
    <x v="4"/>
    <x v="4"/>
    <x v="2"/>
    <x v="2"/>
    <x v="1"/>
    <n v="39"/>
    <n v="42"/>
    <n v="0.94106386115913188"/>
    <n v="0.9895138934704335"/>
    <n v="0.94132985214700315"/>
    <n v="21030"/>
    <n v="1.0027282505089794"/>
  </r>
  <r>
    <s v="REC-0053"/>
    <d v="2024-02-23T00:00:00"/>
    <x v="1"/>
    <x v="0"/>
    <x v="0"/>
    <x v="0"/>
    <x v="0"/>
    <x v="0"/>
    <n v="37"/>
    <n v="37"/>
    <n v="0.9369260500745572"/>
    <n v="0.9552994797682639"/>
    <n v="0.92047210029616244"/>
    <n v="22410"/>
    <n v="0.9616208545431113"/>
  </r>
  <r>
    <s v="REC-0054"/>
    <d v="2024-02-23T00:00:00"/>
    <x v="1"/>
    <x v="5"/>
    <x v="5"/>
    <x v="1"/>
    <x v="1"/>
    <x v="2"/>
    <n v="45"/>
    <n v="45"/>
    <n v="0.995"/>
    <n v="0.96050927307606104"/>
    <n v="0.88560750394499566"/>
    <n v="17070"/>
    <n v="0.9699478917504083"/>
  </r>
  <r>
    <s v="REC-0055"/>
    <d v="2024-02-23T00:00:00"/>
    <x v="1"/>
    <x v="5"/>
    <x v="5"/>
    <x v="1"/>
    <x v="1"/>
    <x v="2"/>
    <n v="45"/>
    <n v="49"/>
    <n v="0.98946805293786366"/>
    <n v="0.97109816309483521"/>
    <n v="0.92125701017311901"/>
    <n v="22960"/>
    <n v="1.0128386952888706"/>
  </r>
  <r>
    <s v="REC-0056"/>
    <d v="2024-02-26T00:00:00"/>
    <x v="1"/>
    <x v="5"/>
    <x v="5"/>
    <x v="1"/>
    <x v="1"/>
    <x v="2"/>
    <n v="42"/>
    <n v="46"/>
    <n v="0.96938718103344368"/>
    <n v="0.95880512142525154"/>
    <n v="0.90649970509637667"/>
    <n v="20350"/>
    <n v="1.0055627425866622"/>
  </r>
  <r>
    <s v="REC-0057"/>
    <d v="2024-02-27T00:00:00"/>
    <x v="1"/>
    <x v="1"/>
    <x v="1"/>
    <x v="0"/>
    <x v="0"/>
    <x v="1"/>
    <n v="34"/>
    <n v="33"/>
    <n v="0.96391258905739485"/>
    <n v="0.98715336638380735"/>
    <n v="0.94577059770430127"/>
    <n v="16640"/>
    <n v="0.96644056588042704"/>
  </r>
  <r>
    <s v="REC-0058"/>
    <d v="2024-02-29T00:00:00"/>
    <x v="1"/>
    <x v="2"/>
    <x v="2"/>
    <x v="1"/>
    <x v="1"/>
    <x v="0"/>
    <n v="31"/>
    <n v="24"/>
    <n v="0.8701107812472525"/>
    <n v="0.94241640450704667"/>
    <n v="0.88790795889468643"/>
    <n v="10110"/>
    <n v="0.84614916712164612"/>
  </r>
  <r>
    <s v="REC-0059"/>
    <d v="2024-02-29T00:00:00"/>
    <x v="1"/>
    <x v="4"/>
    <x v="4"/>
    <x v="2"/>
    <x v="2"/>
    <x v="1"/>
    <n v="32"/>
    <n v="33"/>
    <n v="0.995"/>
    <n v="0.98708313384885871"/>
    <n v="0.98212755270782626"/>
    <n v="15080"/>
    <n v="1.0057379806188942"/>
  </r>
  <r>
    <s v="REC-0060"/>
    <d v="2024-03-01T00:00:00"/>
    <x v="2"/>
    <x v="0"/>
    <x v="0"/>
    <x v="0"/>
    <x v="0"/>
    <x v="0"/>
    <n v="54"/>
    <n v="55"/>
    <n v="0.96010917156138198"/>
    <n v="0.99680029180157581"/>
    <n v="0.92118046334084047"/>
    <n v="35420"/>
    <n v="0.98119083673615748"/>
  </r>
  <r>
    <s v="REC-0061"/>
    <d v="2024-03-01T00:00:00"/>
    <x v="2"/>
    <x v="3"/>
    <x v="3"/>
    <x v="2"/>
    <x v="2"/>
    <x v="0"/>
    <n v="33"/>
    <n v="28"/>
    <n v="0.9803700169839964"/>
    <n v="0.95699405564193696"/>
    <n v="0.98705844866831771"/>
    <n v="12860"/>
    <n v="0.92544724171989257"/>
  </r>
  <r>
    <s v="REC-0062"/>
    <d v="2024-03-04T00:00:00"/>
    <x v="2"/>
    <x v="2"/>
    <x v="2"/>
    <x v="1"/>
    <x v="1"/>
    <x v="0"/>
    <n v="50"/>
    <n v="49"/>
    <n v="0.8838279503144697"/>
    <n v="0.93359807375515524"/>
    <n v="0.88348955121252815"/>
    <n v="19270"/>
    <n v="0.92969460888439626"/>
  </r>
  <r>
    <s v="REC-0063"/>
    <d v="2024-03-05T00:00:00"/>
    <x v="2"/>
    <x v="1"/>
    <x v="1"/>
    <x v="0"/>
    <x v="0"/>
    <x v="1"/>
    <n v="46"/>
    <n v="52"/>
    <n v="0.95057321838039721"/>
    <n v="0.96616870073631689"/>
    <n v="0.97212614067947767"/>
    <n v="28580"/>
    <n v="1.0291677508849206"/>
  </r>
  <r>
    <s v="REC-0064"/>
    <d v="2024-03-06T00:00:00"/>
    <x v="2"/>
    <x v="5"/>
    <x v="5"/>
    <x v="1"/>
    <x v="1"/>
    <x v="2"/>
    <n v="36"/>
    <n v="38"/>
    <n v="0.96038560885659841"/>
    <n v="0.99723212737892752"/>
    <n v="0.92624947799810819"/>
    <n v="18120"/>
    <n v="0.99715333914283277"/>
  </r>
  <r>
    <s v="REC-0065"/>
    <d v="2024-03-08T00:00:00"/>
    <x v="2"/>
    <x v="1"/>
    <x v="1"/>
    <x v="0"/>
    <x v="0"/>
    <x v="1"/>
    <n v="39"/>
    <n v="40"/>
    <n v="0.95686492642023424"/>
    <n v="0.97890481146142894"/>
    <n v="0.97161726907215396"/>
    <n v="23770"/>
    <n v="0.99063181739511397"/>
  </r>
  <r>
    <s v="REC-0066"/>
    <d v="2024-03-08T00:00:00"/>
    <x v="2"/>
    <x v="4"/>
    <x v="4"/>
    <x v="2"/>
    <x v="2"/>
    <x v="1"/>
    <n v="45"/>
    <n v="49"/>
    <n v="0.9439727287978944"/>
    <n v="0.99319962263264783"/>
    <n v="0.967656787204345"/>
    <n v="21250"/>
    <n v="1.0140600385907952"/>
  </r>
  <r>
    <s v="REC-0067"/>
    <d v="2024-03-11T00:00:00"/>
    <x v="2"/>
    <x v="0"/>
    <x v="0"/>
    <x v="0"/>
    <x v="0"/>
    <x v="0"/>
    <n v="35"/>
    <n v="37"/>
    <n v="0.94958224073750219"/>
    <n v="0.99177408819237245"/>
    <n v="0.93341123841217499"/>
    <n v="23650"/>
    <n v="0.99570106395280922"/>
  </r>
  <r>
    <s v="REC-0068"/>
    <d v="2024-03-14T00:00:00"/>
    <x v="2"/>
    <x v="5"/>
    <x v="5"/>
    <x v="1"/>
    <x v="1"/>
    <x v="2"/>
    <n v="47"/>
    <n v="47"/>
    <n v="0.92719915274920961"/>
    <n v="0.98065359606618319"/>
    <n v="0.95005916828242976"/>
    <n v="18570"/>
    <n v="0.96890966125371591"/>
  </r>
  <r>
    <s v="REC-0069"/>
    <d v="2024-03-14T00:00:00"/>
    <x v="2"/>
    <x v="4"/>
    <x v="4"/>
    <x v="2"/>
    <x v="2"/>
    <x v="1"/>
    <n v="29"/>
    <n v="32"/>
    <n v="0.93153086499405136"/>
    <n v="1"/>
    <n v="0.97703449794968966"/>
    <n v="15930"/>
    <n v="1.0196689261832783"/>
  </r>
  <r>
    <s v="REC-0070"/>
    <d v="2024-03-15T00:00:00"/>
    <x v="2"/>
    <x v="0"/>
    <x v="0"/>
    <x v="0"/>
    <x v="0"/>
    <x v="0"/>
    <n v="37"/>
    <n v="39"/>
    <n v="0.94202822281164011"/>
    <n v="0.95994928934985679"/>
    <n v="0.94631174581395749"/>
    <n v="23320"/>
    <n v="0.99038341988980161"/>
  </r>
  <r>
    <s v="REC-0071"/>
    <d v="2024-03-15T00:00:00"/>
    <x v="2"/>
    <x v="0"/>
    <x v="0"/>
    <x v="0"/>
    <x v="0"/>
    <x v="0"/>
    <n v="42"/>
    <n v="42"/>
    <n v="0.94680874761140388"/>
    <n v="0.99341666647085503"/>
    <n v="0.96662859950968505"/>
    <n v="24530"/>
    <n v="0.97904040677541626"/>
  </r>
  <r>
    <s v="REC-0072"/>
    <d v="2024-03-15T00:00:00"/>
    <x v="2"/>
    <x v="0"/>
    <x v="0"/>
    <x v="0"/>
    <x v="0"/>
    <x v="0"/>
    <n v="42"/>
    <n v="49"/>
    <n v="0.93871256871142927"/>
    <n v="0.95262691951553136"/>
    <n v="0.94873274852959955"/>
    <n v="31360"/>
    <n v="1.0339853964777737"/>
  </r>
  <r>
    <s v="REC-0073"/>
    <d v="2024-03-15T00:00:00"/>
    <x v="2"/>
    <x v="5"/>
    <x v="5"/>
    <x v="1"/>
    <x v="1"/>
    <x v="2"/>
    <n v="30"/>
    <n v="31"/>
    <n v="0.97466931007926394"/>
    <n v="0.98220214013435347"/>
    <n v="0.90472269508824577"/>
    <n v="12730"/>
    <n v="0.9852755208909515"/>
  </r>
  <r>
    <s v="REC-0074"/>
    <d v="2024-03-15T00:00:00"/>
    <x v="2"/>
    <x v="3"/>
    <x v="3"/>
    <x v="2"/>
    <x v="2"/>
    <x v="0"/>
    <n v="33"/>
    <n v="35"/>
    <n v="0.93084018419512826"/>
    <n v="0.94758436227239073"/>
    <n v="0.92754584375874649"/>
    <n v="15020"/>
    <n v="0.98459929338381413"/>
  </r>
  <r>
    <s v="REC-0075"/>
    <d v="2024-03-18T00:00:00"/>
    <x v="2"/>
    <x v="0"/>
    <x v="0"/>
    <x v="0"/>
    <x v="0"/>
    <x v="0"/>
    <n v="38"/>
    <n v="38"/>
    <n v="0.91922851816185258"/>
    <n v="0.93087609140434135"/>
    <n v="0.88978818150232186"/>
    <n v="20810"/>
    <n v="0.94739617955157873"/>
  </r>
  <r>
    <s v="REC-0076"/>
    <d v="2024-03-18T00:00:00"/>
    <x v="2"/>
    <x v="5"/>
    <x v="5"/>
    <x v="1"/>
    <x v="1"/>
    <x v="2"/>
    <n v="33"/>
    <n v="38"/>
    <n v="0.93980386056484533"/>
    <n v="0.95740763295477493"/>
    <n v="0.92780939568648002"/>
    <n v="16350"/>
    <n v="1.0247300498277843"/>
  </r>
  <r>
    <s v="REC-0077"/>
    <d v="2024-03-19T00:00:00"/>
    <x v="2"/>
    <x v="4"/>
    <x v="4"/>
    <x v="2"/>
    <x v="2"/>
    <x v="1"/>
    <n v="31"/>
    <n v="35"/>
    <n v="0.97088124565715483"/>
    <n v="0.98614924037846197"/>
    <n v="0.98235830006422309"/>
    <n v="15640"/>
    <n v="1.0387272607097091"/>
  </r>
  <r>
    <s v="REC-0078"/>
    <d v="2024-03-20T00:00:00"/>
    <x v="2"/>
    <x v="5"/>
    <x v="5"/>
    <x v="1"/>
    <x v="1"/>
    <x v="2"/>
    <n v="55"/>
    <n v="56"/>
    <n v="0.97483252199515102"/>
    <n v="0.95876775664761715"/>
    <n v="0.9418133682973322"/>
    <n v="22370"/>
    <n v="0.98315869492812402"/>
  </r>
  <r>
    <s v="REC-0079"/>
    <d v="2024-03-21T00:00:00"/>
    <x v="2"/>
    <x v="5"/>
    <x v="5"/>
    <x v="1"/>
    <x v="1"/>
    <x v="2"/>
    <n v="44"/>
    <n v="54"/>
    <n v="0.91816300629152814"/>
    <n v="0.98896849657033303"/>
    <n v="0.93989636397541121"/>
    <n v="23220"/>
    <n v="1.0458652988535142"/>
  </r>
  <r>
    <s v="REC-0080"/>
    <d v="2024-03-21T00:00:00"/>
    <x v="2"/>
    <x v="3"/>
    <x v="3"/>
    <x v="2"/>
    <x v="2"/>
    <x v="0"/>
    <n v="41"/>
    <n v="39"/>
    <n v="0.88963296968110905"/>
    <n v="0.98744221669665766"/>
    <n v="0.96187283703028037"/>
    <n v="19160"/>
    <n v="0.94338694720888072"/>
  </r>
  <r>
    <s v="REC-0081"/>
    <d v="2024-03-21T00:00:00"/>
    <x v="2"/>
    <x v="4"/>
    <x v="4"/>
    <x v="2"/>
    <x v="2"/>
    <x v="1"/>
    <n v="39"/>
    <n v="47"/>
    <n v="0.94362870237775121"/>
    <n v="0.97979112551747893"/>
    <n v="0.95126603195130244"/>
    <n v="24700"/>
    <n v="1.0531290508123201"/>
  </r>
  <r>
    <s v="REC-0082"/>
    <d v="2024-03-22T00:00:00"/>
    <x v="2"/>
    <x v="1"/>
    <x v="1"/>
    <x v="0"/>
    <x v="0"/>
    <x v="1"/>
    <n v="47"/>
    <n v="45"/>
    <n v="0.9093971569337721"/>
    <n v="0.93606737950216401"/>
    <n v="0.93899514262507977"/>
    <n v="25270"/>
    <n v="0.93853714808803901"/>
  </r>
  <r>
    <s v="REC-0083"/>
    <d v="2024-03-22T00:00:00"/>
    <x v="2"/>
    <x v="5"/>
    <x v="5"/>
    <x v="1"/>
    <x v="1"/>
    <x v="2"/>
    <n v="43"/>
    <n v="41"/>
    <n v="0.995"/>
    <n v="0.97758553005329618"/>
    <n v="0.92860347554795075"/>
    <n v="17170"/>
    <n v="0.96250387345479393"/>
  </r>
  <r>
    <s v="REC-0084"/>
    <d v="2024-03-22T00:00:00"/>
    <x v="2"/>
    <x v="5"/>
    <x v="5"/>
    <x v="1"/>
    <x v="1"/>
    <x v="2"/>
    <n v="54"/>
    <n v="55"/>
    <n v="0.995"/>
    <n v="0.98923398590512113"/>
    <n v="0.90873033575009377"/>
    <n v="24780"/>
    <n v="0.98628857244319434"/>
  </r>
  <r>
    <s v="REC-0085"/>
    <d v="2024-03-27T00:00:00"/>
    <x v="2"/>
    <x v="5"/>
    <x v="5"/>
    <x v="1"/>
    <x v="1"/>
    <x v="2"/>
    <n v="37"/>
    <n v="35"/>
    <n v="0.93745040176845085"/>
    <n v="0.9755445152102683"/>
    <n v="0.93243727870792725"/>
    <n v="15540"/>
    <n v="0.94556011184361677"/>
  </r>
  <r>
    <s v="REC-0086"/>
    <d v="2024-03-27T00:00:00"/>
    <x v="2"/>
    <x v="4"/>
    <x v="4"/>
    <x v="2"/>
    <x v="2"/>
    <x v="1"/>
    <n v="46"/>
    <n v="52"/>
    <n v="0.96800504408208621"/>
    <n v="0.98302124541774938"/>
    <n v="0.96036345861433992"/>
    <n v="25660"/>
    <n v="1.0337010525995303"/>
  </r>
  <r>
    <s v="REC-0087"/>
    <d v="2024-03-29T00:00:00"/>
    <x v="2"/>
    <x v="2"/>
    <x v="2"/>
    <x v="1"/>
    <x v="1"/>
    <x v="0"/>
    <n v="36"/>
    <n v="33"/>
    <n v="0.91793018772711343"/>
    <n v="0.92991980754293446"/>
    <n v="0.85232980682764825"/>
    <n v="12320"/>
    <n v="0.90610314609541498"/>
  </r>
  <r>
    <s v="REC-0088"/>
    <d v="2024-03-29T00:00:00"/>
    <x v="2"/>
    <x v="4"/>
    <x v="4"/>
    <x v="2"/>
    <x v="2"/>
    <x v="1"/>
    <n v="33"/>
    <n v="34"/>
    <n v="0.97385719473543708"/>
    <n v="0.97162037797395484"/>
    <n v="0.96901546452467935"/>
    <n v="14690"/>
    <n v="0.99513166040610057"/>
  </r>
  <r>
    <s v="REC-0089"/>
    <d v="2024-04-01T00:00:00"/>
    <x v="3"/>
    <x v="0"/>
    <x v="0"/>
    <x v="0"/>
    <x v="0"/>
    <x v="0"/>
    <n v="31"/>
    <n v="33"/>
    <n v="0.91733549838431849"/>
    <n v="0.96083159858148959"/>
    <n v="0.94935835294365756"/>
    <n v="19420"/>
    <n v="0.98913673658493773"/>
  </r>
  <r>
    <s v="REC-0090"/>
    <d v="2024-04-01T00:00:00"/>
    <x v="3"/>
    <x v="4"/>
    <x v="4"/>
    <x v="2"/>
    <x v="2"/>
    <x v="1"/>
    <n v="42"/>
    <n v="46"/>
    <n v="0.98455516346230887"/>
    <n v="0.98146416573857276"/>
    <n v="0.97326323166877404"/>
    <n v="22480"/>
    <n v="1.0261063001553561"/>
  </r>
  <r>
    <s v="REC-0091"/>
    <d v="2024-04-02T00:00:00"/>
    <x v="3"/>
    <x v="2"/>
    <x v="2"/>
    <x v="1"/>
    <x v="1"/>
    <x v="0"/>
    <n v="35"/>
    <n v="30"/>
    <n v="0.91869023471946865"/>
    <n v="0.95974139836360495"/>
    <n v="0.90959254341381146"/>
    <n v="11920"/>
    <n v="0.89840941997431301"/>
  </r>
  <r>
    <s v="REC-0092"/>
    <d v="2024-04-02T00:00:00"/>
    <x v="3"/>
    <x v="4"/>
    <x v="4"/>
    <x v="2"/>
    <x v="2"/>
    <x v="1"/>
    <n v="34"/>
    <n v="40"/>
    <n v="0.91280404383132541"/>
    <n v="1"/>
    <n v="0.94807352790635424"/>
    <n v="16700"/>
    <n v="1.03840395183322"/>
  </r>
  <r>
    <s v="REC-0093"/>
    <d v="2024-04-04T00:00:00"/>
    <x v="3"/>
    <x v="0"/>
    <x v="0"/>
    <x v="0"/>
    <x v="0"/>
    <x v="0"/>
    <n v="42"/>
    <n v="40"/>
    <n v="0.93879656963027935"/>
    <n v="0.97861068020321962"/>
    <n v="0.92121703708059555"/>
    <n v="22040"/>
    <n v="0.94668653280655279"/>
  </r>
  <r>
    <s v="REC-0094"/>
    <d v="2024-04-05T00:00:00"/>
    <x v="3"/>
    <x v="0"/>
    <x v="0"/>
    <x v="0"/>
    <x v="0"/>
    <x v="0"/>
    <n v="29"/>
    <n v="30"/>
    <n v="0.94407775363738222"/>
    <n v="0.96644640781054802"/>
    <n v="0.98643435513043842"/>
    <n v="16130"/>
    <n v="0.99206637405529141"/>
  </r>
  <r>
    <s v="REC-0095"/>
    <d v="2024-04-05T00:00:00"/>
    <x v="3"/>
    <x v="5"/>
    <x v="5"/>
    <x v="1"/>
    <x v="1"/>
    <x v="2"/>
    <n v="52"/>
    <n v="56"/>
    <n v="0.93821699334199204"/>
    <n v="0.96756761577287809"/>
    <n v="0.92168704441419136"/>
    <n v="22980"/>
    <n v="0.99479603035349884"/>
  </r>
  <r>
    <s v="REC-0096"/>
    <d v="2024-04-05T00:00:00"/>
    <x v="3"/>
    <x v="5"/>
    <x v="5"/>
    <x v="1"/>
    <x v="1"/>
    <x v="2"/>
    <n v="47"/>
    <n v="49"/>
    <n v="0.94510988189559442"/>
    <n v="0.98632461117642523"/>
    <n v="0.89528937470562187"/>
    <n v="22200"/>
    <n v="0.98030531368723139"/>
  </r>
  <r>
    <s v="REC-0097"/>
    <d v="2024-04-05T00:00:00"/>
    <x v="3"/>
    <x v="4"/>
    <x v="4"/>
    <x v="2"/>
    <x v="2"/>
    <x v="1"/>
    <n v="51"/>
    <n v="62"/>
    <n v="0.95431025830917504"/>
    <n v="0.96859675349228869"/>
    <n v="0.92025608192917308"/>
    <n v="32370"/>
    <n v="1.0479182939869716"/>
  </r>
  <r>
    <s v="REC-0098"/>
    <d v="2024-04-08T00:00:00"/>
    <x v="3"/>
    <x v="2"/>
    <x v="2"/>
    <x v="1"/>
    <x v="1"/>
    <x v="0"/>
    <n v="42"/>
    <n v="40"/>
    <n v="0.88112428671729681"/>
    <n v="0.93531470335100408"/>
    <n v="0.91652302008822328"/>
    <n v="17240"/>
    <n v="0.9248352621520004"/>
  </r>
  <r>
    <s v="REC-0099"/>
    <d v="2024-04-08T00:00:00"/>
    <x v="3"/>
    <x v="5"/>
    <x v="5"/>
    <x v="1"/>
    <x v="1"/>
    <x v="2"/>
    <n v="45"/>
    <n v="42"/>
    <n v="0.92806689189672165"/>
    <n v="1"/>
    <n v="0.92264122180838448"/>
    <n v="17080"/>
    <n v="0.93987830066919076"/>
  </r>
  <r>
    <s v="REC-0100"/>
    <d v="2024-04-09T00:00:00"/>
    <x v="3"/>
    <x v="1"/>
    <x v="1"/>
    <x v="0"/>
    <x v="0"/>
    <x v="1"/>
    <n v="40"/>
    <n v="35"/>
    <n v="0.97309528324491379"/>
    <n v="0.94394875798599676"/>
    <n v="0.94084469816401051"/>
    <n v="17660"/>
    <n v="0.92303507414193009"/>
  </r>
  <r>
    <s v="REC-0101"/>
    <d v="2024-04-09T00:00:00"/>
    <x v="3"/>
    <x v="1"/>
    <x v="1"/>
    <x v="0"/>
    <x v="0"/>
    <x v="1"/>
    <n v="42"/>
    <n v="38"/>
    <n v="0.88995901121039733"/>
    <n v="0.99055385642676974"/>
    <n v="0.96947737472853046"/>
    <n v="18820"/>
    <n v="0.92687306811708281"/>
  </r>
  <r>
    <s v="REC-0102"/>
    <d v="2024-04-09T00:00:00"/>
    <x v="3"/>
    <x v="4"/>
    <x v="4"/>
    <x v="2"/>
    <x v="2"/>
    <x v="1"/>
    <n v="30"/>
    <n v="31"/>
    <n v="0.92095536090821661"/>
    <n v="0.95405811330674961"/>
    <n v="0.99334866642457131"/>
    <n v="13860"/>
    <n v="0.98535062384131433"/>
  </r>
  <r>
    <s v="REC-0103"/>
    <d v="2024-04-10T00:00:00"/>
    <x v="3"/>
    <x v="5"/>
    <x v="5"/>
    <x v="1"/>
    <x v="1"/>
    <x v="2"/>
    <n v="42"/>
    <n v="43"/>
    <n v="0.95082231968123387"/>
    <n v="0.98053519270156742"/>
    <n v="0.8785044820095721"/>
    <n v="17700"/>
    <n v="0.97001056475126757"/>
  </r>
  <r>
    <s v="REC-0104"/>
    <d v="2024-04-11T00:00:00"/>
    <x v="3"/>
    <x v="5"/>
    <x v="5"/>
    <x v="1"/>
    <x v="1"/>
    <x v="2"/>
    <n v="52"/>
    <n v="56"/>
    <n v="0.96712981396024189"/>
    <n v="0.97438589272671439"/>
    <n v="0.90665113602594094"/>
    <n v="21620"/>
    <n v="1.0000397953734868"/>
  </r>
  <r>
    <s v="REC-0105"/>
    <d v="2024-04-12T00:00:00"/>
    <x v="3"/>
    <x v="0"/>
    <x v="0"/>
    <x v="0"/>
    <x v="0"/>
    <x v="0"/>
    <n v="30"/>
    <n v="30"/>
    <n v="0.93356981988485599"/>
    <n v="0.98122795480900704"/>
    <n v="0.9484988984788022"/>
    <n v="15280"/>
    <n v="0.97027642788832547"/>
  </r>
  <r>
    <s v="REC-0106"/>
    <d v="2024-04-12T00:00:00"/>
    <x v="3"/>
    <x v="0"/>
    <x v="0"/>
    <x v="0"/>
    <x v="0"/>
    <x v="0"/>
    <n v="32"/>
    <n v="35"/>
    <n v="0.90716344983902941"/>
    <n v="0.93548067169400051"/>
    <n v="0.97621210282759396"/>
    <n v="19080"/>
    <n v="0.99985538377937622"/>
  </r>
  <r>
    <s v="REC-0107"/>
    <d v="2024-04-12T00:00:00"/>
    <x v="3"/>
    <x v="0"/>
    <x v="0"/>
    <x v="0"/>
    <x v="0"/>
    <x v="0"/>
    <n v="53"/>
    <n v="61"/>
    <n v="0.91234539645628043"/>
    <n v="0.970552520985697"/>
    <n v="0.92527960650941854"/>
    <n v="34880"/>
    <n v="1.0191025070543744"/>
  </r>
  <r>
    <s v="REC-0108"/>
    <d v="2024-04-12T00:00:00"/>
    <x v="3"/>
    <x v="1"/>
    <x v="1"/>
    <x v="0"/>
    <x v="0"/>
    <x v="1"/>
    <n v="51"/>
    <n v="55"/>
    <n v="0.88398349290956346"/>
    <n v="0.93971432863122606"/>
    <n v="0.995"/>
    <n v="29920"/>
    <n v="0.99232557154168277"/>
  </r>
  <r>
    <s v="REC-0109"/>
    <d v="2024-04-12T00:00:00"/>
    <x v="3"/>
    <x v="1"/>
    <x v="1"/>
    <x v="0"/>
    <x v="0"/>
    <x v="1"/>
    <n v="38"/>
    <n v="35"/>
    <n v="0.95852933521895289"/>
    <n v="0.9654079544714097"/>
    <n v="0.96946360683944499"/>
    <n v="18280"/>
    <n v="0.94675730097491773"/>
  </r>
  <r>
    <s v="REC-0110"/>
    <d v="2024-04-12T00:00:00"/>
    <x v="3"/>
    <x v="5"/>
    <x v="5"/>
    <x v="1"/>
    <x v="1"/>
    <x v="2"/>
    <n v="38"/>
    <n v="40"/>
    <n v="0.96335601667013226"/>
    <n v="1"/>
    <n v="0.97500037415487872"/>
    <n v="18220"/>
    <n v="1.0068917105774562"/>
  </r>
  <r>
    <s v="REC-0111"/>
    <d v="2024-04-12T00:00:00"/>
    <x v="3"/>
    <x v="3"/>
    <x v="3"/>
    <x v="2"/>
    <x v="2"/>
    <x v="0"/>
    <n v="51"/>
    <n v="51"/>
    <n v="0.94871513092143012"/>
    <n v="0.94394805440735197"/>
    <n v="0.95092286126530745"/>
    <n v="21390"/>
    <n v="0.96895556314452191"/>
  </r>
  <r>
    <s v="REC-0112"/>
    <d v="2024-04-15T00:00:00"/>
    <x v="3"/>
    <x v="2"/>
    <x v="2"/>
    <x v="1"/>
    <x v="1"/>
    <x v="0"/>
    <n v="40"/>
    <n v="36"/>
    <n v="0.90009154060045438"/>
    <n v="0.95504987519960471"/>
    <n v="0.89329414553344133"/>
    <n v="16080"/>
    <n v="0.90693919553674263"/>
  </r>
  <r>
    <s v="REC-0113"/>
    <d v="2024-04-16T00:00:00"/>
    <x v="3"/>
    <x v="2"/>
    <x v="2"/>
    <x v="1"/>
    <x v="1"/>
    <x v="0"/>
    <n v="43"/>
    <n v="45"/>
    <n v="0.93251149487530605"/>
    <n v="0.95385482864244331"/>
    <n v="0.96651791838540557"/>
    <n v="16430"/>
    <n v="0.98811433285506489"/>
  </r>
  <r>
    <s v="REC-0114"/>
    <d v="2024-04-18T00:00:00"/>
    <x v="3"/>
    <x v="4"/>
    <x v="4"/>
    <x v="2"/>
    <x v="2"/>
    <x v="1"/>
    <n v="43"/>
    <n v="48"/>
    <n v="0.97638317228135729"/>
    <n v="0.97821350995153633"/>
    <n v="0.995"/>
    <n v="21440"/>
    <n v="1.0363394474700465"/>
  </r>
  <r>
    <s v="REC-0115"/>
    <d v="2024-04-19T00:00:00"/>
    <x v="3"/>
    <x v="0"/>
    <x v="0"/>
    <x v="0"/>
    <x v="0"/>
    <x v="0"/>
    <n v="43"/>
    <n v="46"/>
    <n v="0.91424261711223653"/>
    <n v="0.98279771459580201"/>
    <n v="0.91591729570599134"/>
    <n v="23930"/>
    <n v="0.98707074735281375"/>
  </r>
  <r>
    <s v="REC-0116"/>
    <d v="2024-04-19T00:00:00"/>
    <x v="3"/>
    <x v="0"/>
    <x v="0"/>
    <x v="0"/>
    <x v="0"/>
    <x v="0"/>
    <n v="48"/>
    <n v="51"/>
    <n v="0.91380088005718252"/>
    <n v="0.98451187203981438"/>
    <n v="0.91086109007097971"/>
    <n v="26850"/>
    <n v="0.9832992188344637"/>
  </r>
  <r>
    <s v="REC-0117"/>
    <d v="2024-04-19T00:00:00"/>
    <x v="3"/>
    <x v="5"/>
    <x v="5"/>
    <x v="1"/>
    <x v="1"/>
    <x v="2"/>
    <n v="28"/>
    <n v="29"/>
    <n v="0.995"/>
    <n v="0.94196614352012675"/>
    <n v="0.96933471411029315"/>
    <n v="12330"/>
    <n v="0.99819757863579206"/>
  </r>
  <r>
    <s v="REC-0118"/>
    <d v="2024-04-19T00:00:00"/>
    <x v="3"/>
    <x v="3"/>
    <x v="3"/>
    <x v="2"/>
    <x v="2"/>
    <x v="0"/>
    <n v="32"/>
    <n v="34"/>
    <n v="0.96943467167815667"/>
    <n v="0.94918532238719722"/>
    <n v="0.92623621789750654"/>
    <n v="16060"/>
    <n v="0.99498370985712004"/>
  </r>
  <r>
    <s v="REC-0119"/>
    <d v="2024-04-19T00:00:00"/>
    <x v="3"/>
    <x v="3"/>
    <x v="3"/>
    <x v="2"/>
    <x v="2"/>
    <x v="0"/>
    <n v="49"/>
    <n v="51"/>
    <n v="0.89104627018123983"/>
    <n v="0.94477645512511532"/>
    <n v="0.96173972651119133"/>
    <n v="24450"/>
    <n v="0.97315251172856043"/>
  </r>
  <r>
    <s v="REC-0120"/>
    <d v="2024-04-23T00:00:00"/>
    <x v="3"/>
    <x v="3"/>
    <x v="3"/>
    <x v="2"/>
    <x v="2"/>
    <x v="0"/>
    <n v="40"/>
    <n v="37"/>
    <n v="0.95655154027998923"/>
    <n v="0.95258020932620502"/>
    <n v="0.95253319431531713"/>
    <n v="17420"/>
    <n v="0.94253155533199151"/>
  </r>
  <r>
    <s v="REC-0121"/>
    <d v="2024-04-24T00:00:00"/>
    <x v="3"/>
    <x v="1"/>
    <x v="1"/>
    <x v="0"/>
    <x v="0"/>
    <x v="1"/>
    <n v="30"/>
    <n v="34"/>
    <n v="0.90761835773384869"/>
    <n v="0.9628895397595405"/>
    <n v="0.95589172361393793"/>
    <n v="18150"/>
    <n v="1.0158496984535144"/>
  </r>
  <r>
    <s v="REC-0122"/>
    <d v="2024-04-25T00:00:00"/>
    <x v="3"/>
    <x v="2"/>
    <x v="2"/>
    <x v="1"/>
    <x v="1"/>
    <x v="0"/>
    <n v="32"/>
    <n v="31"/>
    <n v="0.89239168775999123"/>
    <n v="0.95992175497872212"/>
    <n v="0.88437279380728073"/>
    <n v="12080"/>
    <n v="0.93146074394826228"/>
  </r>
  <r>
    <s v="REC-0123"/>
    <d v="2024-04-25T00:00:00"/>
    <x v="3"/>
    <x v="5"/>
    <x v="5"/>
    <x v="1"/>
    <x v="1"/>
    <x v="2"/>
    <n v="35"/>
    <n v="36"/>
    <n v="0.93417355568917348"/>
    <n v="0.98718012799613619"/>
    <n v="0.93884372029309637"/>
    <n v="13630"/>
    <n v="0.98081772360890451"/>
  </r>
  <r>
    <s v="REC-0124"/>
    <d v="2024-04-25T00:00:00"/>
    <x v="3"/>
    <x v="4"/>
    <x v="4"/>
    <x v="2"/>
    <x v="2"/>
    <x v="1"/>
    <n v="41"/>
    <n v="45"/>
    <n v="0.9638837874597348"/>
    <n v="0.97840391400464966"/>
    <n v="0.96647840432535492"/>
    <n v="23940"/>
    <n v="1.0200516050746047"/>
  </r>
  <r>
    <s v="REC-0125"/>
    <d v="2024-04-26T00:00:00"/>
    <x v="3"/>
    <x v="1"/>
    <x v="1"/>
    <x v="0"/>
    <x v="0"/>
    <x v="1"/>
    <n v="29"/>
    <n v="31"/>
    <n v="0.94250864316107674"/>
    <n v="0.95054617884252435"/>
    <n v="0.99240100344696558"/>
    <n v="18370"/>
    <n v="1.0042754952025925"/>
  </r>
  <r>
    <s v="REC-0126"/>
    <d v="2024-04-26T00:00:00"/>
    <x v="3"/>
    <x v="3"/>
    <x v="3"/>
    <x v="2"/>
    <x v="2"/>
    <x v="0"/>
    <n v="36"/>
    <n v="39"/>
    <n v="0.98832368465372744"/>
    <n v="0.95916337617623104"/>
    <n v="0.95287310511965839"/>
    <n v="17830"/>
    <n v="1.0148633819471315"/>
  </r>
  <r>
    <s v="REC-0127"/>
    <d v="2024-04-26T00:00:00"/>
    <x v="3"/>
    <x v="4"/>
    <x v="4"/>
    <x v="2"/>
    <x v="2"/>
    <x v="1"/>
    <n v="31"/>
    <n v="35"/>
    <n v="0.99150314498597358"/>
    <n v="0.96673902008112234"/>
    <n v="0.986742757936102"/>
    <n v="19050"/>
    <n v="1.0418480940716885"/>
  </r>
  <r>
    <s v="REC-0128"/>
    <d v="2024-04-30T00:00:00"/>
    <x v="3"/>
    <x v="0"/>
    <x v="0"/>
    <x v="0"/>
    <x v="0"/>
    <x v="0"/>
    <n v="36"/>
    <n v="41"/>
    <n v="0.95673923777291392"/>
    <n v="0.99502490266473731"/>
    <n v="0.93360942294248739"/>
    <n v="23740"/>
    <n v="1.030715984986992"/>
  </r>
  <r>
    <s v="REC-0129"/>
    <d v="2024-04-30T00:00:00"/>
    <x v="3"/>
    <x v="4"/>
    <x v="4"/>
    <x v="2"/>
    <x v="2"/>
    <x v="1"/>
    <n v="44"/>
    <n v="53"/>
    <n v="0.95557062795529879"/>
    <n v="1"/>
    <n v="0.90968330633597283"/>
    <n v="25710"/>
    <n v="1.0508293182560193"/>
  </r>
  <r>
    <s v="REC-0130"/>
    <d v="2024-05-01T00:00:00"/>
    <x v="4"/>
    <x v="0"/>
    <x v="0"/>
    <x v="0"/>
    <x v="0"/>
    <x v="0"/>
    <n v="45"/>
    <n v="54"/>
    <n v="0.94210052515433951"/>
    <n v="0.99747641997271674"/>
    <n v="0.94729586801339016"/>
    <n v="27340"/>
    <n v="1.0546057678871703"/>
  </r>
  <r>
    <s v="REC-0131"/>
    <d v="2024-05-03T00:00:00"/>
    <x v="4"/>
    <x v="0"/>
    <x v="0"/>
    <x v="0"/>
    <x v="0"/>
    <x v="0"/>
    <n v="28"/>
    <n v="33"/>
    <n v="0.93487983788633822"/>
    <n v="0.97071027454156922"/>
    <n v="0.94581960195345083"/>
    <n v="19240"/>
    <n v="1.0399189924720815"/>
  </r>
  <r>
    <s v="REC-0132"/>
    <d v="2024-05-03T00:00:00"/>
    <x v="4"/>
    <x v="0"/>
    <x v="0"/>
    <x v="0"/>
    <x v="0"/>
    <x v="0"/>
    <n v="50"/>
    <n v="51"/>
    <n v="0.93814684054891273"/>
    <n v="0.99691635065326578"/>
    <n v="0.93213763099475622"/>
    <n v="28410"/>
    <n v="0.97850168893416933"/>
  </r>
  <r>
    <s v="REC-0133"/>
    <d v="2024-05-03T00:00:00"/>
    <x v="4"/>
    <x v="1"/>
    <x v="1"/>
    <x v="0"/>
    <x v="0"/>
    <x v="1"/>
    <n v="41"/>
    <n v="39"/>
    <n v="0.95005891755953997"/>
    <n v="0.96006470686873546"/>
    <n v="0.89565489208306204"/>
    <n v="22950"/>
    <n v="0.94114321871485651"/>
  </r>
  <r>
    <s v="REC-0134"/>
    <d v="2024-05-03T00:00:00"/>
    <x v="4"/>
    <x v="1"/>
    <x v="1"/>
    <x v="0"/>
    <x v="0"/>
    <x v="1"/>
    <n v="50"/>
    <n v="53"/>
    <n v="0.90336515714460086"/>
    <n v="0.94941579747594884"/>
    <n v="0.95955723739002152"/>
    <n v="27030"/>
    <n v="0.98416510638554699"/>
  </r>
  <r>
    <s v="REC-0135"/>
    <d v="2024-05-03T00:00:00"/>
    <x v="4"/>
    <x v="2"/>
    <x v="2"/>
    <x v="1"/>
    <x v="1"/>
    <x v="0"/>
    <n v="36"/>
    <n v="32"/>
    <n v="0.90311065024307802"/>
    <n v="0.94623497152874503"/>
    <n v="0.89678956517447961"/>
    <n v="13340"/>
    <n v="0.90262637688053271"/>
  </r>
  <r>
    <s v="REC-0136"/>
    <d v="2024-05-03T00:00:00"/>
    <x v="4"/>
    <x v="3"/>
    <x v="3"/>
    <x v="2"/>
    <x v="2"/>
    <x v="0"/>
    <n v="50"/>
    <n v="51"/>
    <n v="0.92784689711695634"/>
    <n v="0.94616682024956433"/>
    <n v="0.92397034257541055"/>
    <n v="25210"/>
    <n v="0.96668081583175591"/>
  </r>
  <r>
    <s v="REC-0137"/>
    <d v="2024-05-06T00:00:00"/>
    <x v="4"/>
    <x v="0"/>
    <x v="0"/>
    <x v="0"/>
    <x v="0"/>
    <x v="0"/>
    <n v="49"/>
    <n v="57"/>
    <n v="0.94525359651382412"/>
    <n v="0.96065282458125101"/>
    <n v="0.92059416787783854"/>
    <n v="36070"/>
    <n v="1.0298362788401911"/>
  </r>
  <r>
    <s v="REC-0138"/>
    <d v="2024-05-08T00:00:00"/>
    <x v="4"/>
    <x v="4"/>
    <x v="4"/>
    <x v="2"/>
    <x v="2"/>
    <x v="1"/>
    <n v="53"/>
    <n v="57"/>
    <n v="0.95693725385463646"/>
    <n v="0.98116627458680894"/>
    <n v="0.95168645677173136"/>
    <n v="25510"/>
    <n v="1.0069352252513097"/>
  </r>
  <r>
    <s v="REC-0139"/>
    <d v="2024-05-09T00:00:00"/>
    <x v="4"/>
    <x v="1"/>
    <x v="1"/>
    <x v="0"/>
    <x v="0"/>
    <x v="1"/>
    <n v="36"/>
    <n v="34"/>
    <n v="0.89730688287018179"/>
    <n v="0.95584766341692518"/>
    <n v="0.92430349686377267"/>
    <n v="19260"/>
    <n v="0.9303423473806165"/>
  </r>
  <r>
    <s v="REC-0140"/>
    <d v="2024-05-10T00:00:00"/>
    <x v="4"/>
    <x v="5"/>
    <x v="5"/>
    <x v="1"/>
    <x v="1"/>
    <x v="2"/>
    <n v="51"/>
    <n v="53"/>
    <n v="0.995"/>
    <n v="0.98092807578097796"/>
    <n v="0.90288657224629543"/>
    <n v="23560"/>
    <n v="0.99215280032620978"/>
  </r>
  <r>
    <s v="REC-0141"/>
    <d v="2024-05-10T00:00:00"/>
    <x v="4"/>
    <x v="4"/>
    <x v="4"/>
    <x v="2"/>
    <x v="2"/>
    <x v="1"/>
    <n v="47"/>
    <n v="49"/>
    <n v="0.97138218290261613"/>
    <n v="0.96149905854131301"/>
    <n v="0.98326698328075157"/>
    <n v="20630"/>
    <n v="1.0007450777587461"/>
  </r>
  <r>
    <s v="REC-0142"/>
    <d v="2024-05-13T00:00:00"/>
    <x v="4"/>
    <x v="0"/>
    <x v="0"/>
    <x v="0"/>
    <x v="0"/>
    <x v="0"/>
    <n v="48"/>
    <n v="54"/>
    <n v="0.93880450968386142"/>
    <n v="0.94370718764865391"/>
    <n v="0.94509131132080604"/>
    <n v="31590"/>
    <n v="1.0152754678324247"/>
  </r>
  <r>
    <s v="REC-0143"/>
    <d v="2024-05-15T00:00:00"/>
    <x v="4"/>
    <x v="2"/>
    <x v="2"/>
    <x v="1"/>
    <x v="1"/>
    <x v="0"/>
    <n v="43"/>
    <n v="44"/>
    <n v="0.91127125361289774"/>
    <n v="0.94899104295705028"/>
    <n v="0.87753956371781949"/>
    <n v="16710"/>
    <n v="0.9549767081717413"/>
  </r>
  <r>
    <s v="REC-0144"/>
    <d v="2024-05-16T00:00:00"/>
    <x v="4"/>
    <x v="2"/>
    <x v="2"/>
    <x v="1"/>
    <x v="1"/>
    <x v="0"/>
    <n v="29"/>
    <n v="27"/>
    <n v="0.91889279624731501"/>
    <n v="0.9288490162156634"/>
    <n v="0.85024779306569354"/>
    <n v="11330"/>
    <n v="0.91151390321076531"/>
  </r>
  <r>
    <s v="REC-0145"/>
    <d v="2024-05-17T00:00:00"/>
    <x v="4"/>
    <x v="5"/>
    <x v="5"/>
    <x v="1"/>
    <x v="1"/>
    <x v="2"/>
    <n v="50"/>
    <n v="48"/>
    <n v="0.94253727299499124"/>
    <n v="0.95118363090395119"/>
    <n v="0.93210460154170971"/>
    <n v="22270"/>
    <n v="0.94873278319268239"/>
  </r>
  <r>
    <s v="REC-0146"/>
    <d v="2024-05-17T00:00:00"/>
    <x v="4"/>
    <x v="3"/>
    <x v="3"/>
    <x v="2"/>
    <x v="2"/>
    <x v="0"/>
    <n v="55"/>
    <n v="61"/>
    <n v="0.94897949831928397"/>
    <n v="0.97000695218132571"/>
    <n v="0.92050043623231748"/>
    <n v="30410"/>
    <n v="1.0104823682898469"/>
  </r>
  <r>
    <s v="REC-0147"/>
    <d v="2024-05-17T00:00:00"/>
    <x v="4"/>
    <x v="4"/>
    <x v="4"/>
    <x v="2"/>
    <x v="2"/>
    <x v="1"/>
    <n v="55"/>
    <n v="60"/>
    <n v="0.96261802756379711"/>
    <n v="0.97099845947910735"/>
    <n v="0.98282334435032925"/>
    <n v="27730"/>
    <n v="1.0192325810465177"/>
  </r>
  <r>
    <s v="REC-0148"/>
    <d v="2024-05-20T00:00:00"/>
    <x v="4"/>
    <x v="0"/>
    <x v="0"/>
    <x v="0"/>
    <x v="0"/>
    <x v="0"/>
    <n v="32"/>
    <n v="39"/>
    <n v="0.9631963807949826"/>
    <n v="0.99486792079756747"/>
    <n v="0.95751204756038566"/>
    <n v="24520"/>
    <n v="1.0615316928304579"/>
  </r>
  <r>
    <s v="REC-0149"/>
    <d v="2024-05-20T00:00:00"/>
    <x v="4"/>
    <x v="1"/>
    <x v="1"/>
    <x v="0"/>
    <x v="0"/>
    <x v="1"/>
    <n v="33"/>
    <n v="34"/>
    <n v="0.92671629918115439"/>
    <n v="0.96028561813306001"/>
    <n v="0.94532311614655373"/>
    <n v="17690"/>
    <n v="0.97690775286577036"/>
  </r>
  <r>
    <s v="REC-0150"/>
    <d v="2024-05-20T00:00:00"/>
    <x v="4"/>
    <x v="5"/>
    <x v="5"/>
    <x v="1"/>
    <x v="1"/>
    <x v="2"/>
    <n v="44"/>
    <n v="45"/>
    <n v="0.9668353397301096"/>
    <n v="0.97179510691016502"/>
    <n v="0.98753318112740485"/>
    <n v="16630"/>
    <n v="0.99407564628544232"/>
  </r>
  <r>
    <s v="REC-0151"/>
    <d v="2024-05-20T00:00:00"/>
    <x v="4"/>
    <x v="3"/>
    <x v="3"/>
    <x v="2"/>
    <x v="2"/>
    <x v="0"/>
    <n v="41"/>
    <n v="41"/>
    <n v="0.9204281987295222"/>
    <n v="0.95824324648852033"/>
    <n v="0.92674524391176982"/>
    <n v="16980"/>
    <n v="0.95919258543801256"/>
  </r>
  <r>
    <s v="REC-0152"/>
    <d v="2024-05-21T00:00:00"/>
    <x v="4"/>
    <x v="0"/>
    <x v="0"/>
    <x v="0"/>
    <x v="0"/>
    <x v="0"/>
    <n v="55"/>
    <n v="59"/>
    <n v="0.92542442567821348"/>
    <n v="0.98747922435886903"/>
    <n v="0.90261972029991255"/>
    <n v="35750"/>
    <n v="0.98909284322427538"/>
  </r>
  <r>
    <s v="REC-0153"/>
    <d v="2024-05-21T00:00:00"/>
    <x v="4"/>
    <x v="4"/>
    <x v="4"/>
    <x v="2"/>
    <x v="2"/>
    <x v="1"/>
    <n v="44"/>
    <n v="50"/>
    <n v="0.98210049425394008"/>
    <n v="0.96848418297741123"/>
    <n v="0.94192015031324172"/>
    <n v="23080"/>
    <n v="1.0337272356181995"/>
  </r>
  <r>
    <s v="REC-0154"/>
    <d v="2024-05-22T00:00:00"/>
    <x v="4"/>
    <x v="1"/>
    <x v="1"/>
    <x v="0"/>
    <x v="0"/>
    <x v="1"/>
    <n v="35"/>
    <n v="35"/>
    <n v="0.88963427132868023"/>
    <n v="0.95964280068457453"/>
    <n v="0.92144686197845926"/>
    <n v="19740"/>
    <n v="0.95064436033054811"/>
  </r>
  <r>
    <s v="REC-0155"/>
    <d v="2024-05-22T00:00:00"/>
    <x v="4"/>
    <x v="3"/>
    <x v="3"/>
    <x v="2"/>
    <x v="2"/>
    <x v="0"/>
    <n v="53"/>
    <n v="53"/>
    <n v="0.94712546074778037"/>
    <n v="0.975581773392731"/>
    <n v="0.94914497580279134"/>
    <n v="23110"/>
    <n v="0.97294762635641308"/>
  </r>
  <r>
    <s v="REC-0156"/>
    <d v="2024-05-23T00:00:00"/>
    <x v="4"/>
    <x v="0"/>
    <x v="0"/>
    <x v="0"/>
    <x v="0"/>
    <x v="0"/>
    <n v="54"/>
    <n v="57"/>
    <n v="0.90162124678318434"/>
    <n v="0.98935234778885983"/>
    <n v="0.95309540987495189"/>
    <n v="29950"/>
    <n v="0.9866494680613378"/>
  </r>
  <r>
    <s v="REC-0157"/>
    <d v="2024-05-23T00:00:00"/>
    <x v="4"/>
    <x v="1"/>
    <x v="1"/>
    <x v="0"/>
    <x v="0"/>
    <x v="1"/>
    <n v="35"/>
    <n v="35"/>
    <n v="0.93107334332957603"/>
    <n v="0.93699121241942585"/>
    <n v="0.93796584547819029"/>
    <n v="19960"/>
    <n v="0.96091018679094597"/>
  </r>
  <r>
    <s v="REC-0158"/>
    <d v="2024-05-24T00:00:00"/>
    <x v="4"/>
    <x v="1"/>
    <x v="1"/>
    <x v="0"/>
    <x v="0"/>
    <x v="1"/>
    <n v="39"/>
    <n v="38"/>
    <n v="0.94624099334163425"/>
    <n v="0.96553445210325339"/>
    <n v="0.97987865707222133"/>
    <n v="20980"/>
    <n v="0.96710973730893046"/>
  </r>
  <r>
    <s v="REC-0159"/>
    <d v="2024-05-24T00:00:00"/>
    <x v="4"/>
    <x v="3"/>
    <x v="3"/>
    <x v="2"/>
    <x v="2"/>
    <x v="0"/>
    <n v="30"/>
    <n v="30"/>
    <n v="0.93011857228577588"/>
    <n v="0.94860687719472214"/>
    <n v="0.91647178434656207"/>
    <n v="14680"/>
    <n v="0.95811503151996469"/>
  </r>
  <r>
    <s v="REC-0160"/>
    <d v="2024-05-27T00:00:00"/>
    <x v="4"/>
    <x v="4"/>
    <x v="4"/>
    <x v="2"/>
    <x v="2"/>
    <x v="1"/>
    <n v="41"/>
    <n v="50"/>
    <n v="0.91276985339779726"/>
    <n v="1"/>
    <n v="0.99133443913266273"/>
    <n v="22570"/>
    <n v="1.0564593511759819"/>
  </r>
  <r>
    <s v="REC-0161"/>
    <d v="2024-05-28T00:00:00"/>
    <x v="4"/>
    <x v="1"/>
    <x v="1"/>
    <x v="0"/>
    <x v="0"/>
    <x v="1"/>
    <n v="32"/>
    <n v="28"/>
    <n v="0.90957304899928848"/>
    <n v="0.98784095374887315"/>
    <n v="0.98451552024294242"/>
    <n v="13970"/>
    <n v="0.92247250936074154"/>
  </r>
  <r>
    <s v="REC-0162"/>
    <d v="2024-05-29T00:00:00"/>
    <x v="4"/>
    <x v="2"/>
    <x v="2"/>
    <x v="1"/>
    <x v="1"/>
    <x v="0"/>
    <n v="42"/>
    <n v="46"/>
    <n v="0.91361016092871916"/>
    <n v="0.95541480273929291"/>
    <n v="0.9148303609181625"/>
    <n v="19640"/>
    <n v="0.99277607092194431"/>
  </r>
  <r>
    <s v="REC-0163"/>
    <d v="2024-05-30T00:00:00"/>
    <x v="4"/>
    <x v="0"/>
    <x v="0"/>
    <x v="0"/>
    <x v="0"/>
    <x v="0"/>
    <n v="49"/>
    <n v="56"/>
    <n v="0.96557923889687236"/>
    <n v="0.95178496410467783"/>
    <n v="0.95260819673775921"/>
    <n v="29720"/>
    <n v="1.0318270508303287"/>
  </r>
  <r>
    <s v="REC-0164"/>
    <d v="2024-05-31T00:00:00"/>
    <x v="4"/>
    <x v="1"/>
    <x v="1"/>
    <x v="0"/>
    <x v="0"/>
    <x v="1"/>
    <n v="32"/>
    <n v="30"/>
    <n v="0.90734669805359258"/>
    <n v="0.96807054749098398"/>
    <n v="0.94728058131957171"/>
    <n v="14850"/>
    <n v="0.93650337290096008"/>
  </r>
  <r>
    <s v="REC-0165"/>
    <d v="2024-05-31T00:00:00"/>
    <x v="4"/>
    <x v="2"/>
    <x v="2"/>
    <x v="1"/>
    <x v="1"/>
    <x v="0"/>
    <n v="35"/>
    <n v="35"/>
    <n v="0.91234824942793291"/>
    <n v="0.95479407118156467"/>
    <n v="0.90379026625305436"/>
    <n v="14950"/>
    <n v="0.95206422628482879"/>
  </r>
  <r>
    <s v="REC-0166"/>
    <d v="2024-05-31T00:00:00"/>
    <x v="4"/>
    <x v="2"/>
    <x v="2"/>
    <x v="1"/>
    <x v="1"/>
    <x v="0"/>
    <n v="30"/>
    <n v="29"/>
    <n v="0.89107032624339011"/>
    <n v="0.94354876658607822"/>
    <n v="0.83225113585331612"/>
    <n v="12000"/>
    <n v="0.91741679038608925"/>
  </r>
  <r>
    <s v="REC-0167"/>
    <d v="2024-05-31T00:00:00"/>
    <x v="4"/>
    <x v="2"/>
    <x v="2"/>
    <x v="1"/>
    <x v="1"/>
    <x v="0"/>
    <n v="36"/>
    <n v="36"/>
    <n v="0.88162010095322862"/>
    <n v="0.93424133013138566"/>
    <n v="0.9135665912531159"/>
    <n v="13060"/>
    <n v="0.9432545430086382"/>
  </r>
  <r>
    <s v="REC-0168"/>
    <d v="2024-05-31T00:00:00"/>
    <x v="4"/>
    <x v="3"/>
    <x v="3"/>
    <x v="2"/>
    <x v="2"/>
    <x v="0"/>
    <n v="44"/>
    <n v="44"/>
    <n v="0.87741642497483496"/>
    <n v="0.9710619246505513"/>
    <n v="0.89429911474579138"/>
    <n v="20740"/>
    <n v="0.94387321789044976"/>
  </r>
  <r>
    <s v="REC-0169"/>
    <d v="2024-06-03T00:00:00"/>
    <x v="5"/>
    <x v="5"/>
    <x v="5"/>
    <x v="1"/>
    <x v="1"/>
    <x v="2"/>
    <n v="29"/>
    <n v="26"/>
    <n v="0.96474975061278878"/>
    <n v="1"/>
    <n v="0.85453808717912538"/>
    <n v="9780"/>
    <n v="0.92071574474419471"/>
  </r>
  <r>
    <s v="REC-0170"/>
    <d v="2024-06-03T00:00:00"/>
    <x v="5"/>
    <x v="5"/>
    <x v="5"/>
    <x v="1"/>
    <x v="1"/>
    <x v="2"/>
    <n v="49"/>
    <n v="45"/>
    <n v="0.96572782455847339"/>
    <n v="0.97802470396230345"/>
    <n v="0.96183759151507053"/>
    <n v="18950"/>
    <n v="0.94785011881248826"/>
  </r>
  <r>
    <s v="REC-0171"/>
    <d v="2024-06-04T00:00:00"/>
    <x v="5"/>
    <x v="0"/>
    <x v="0"/>
    <x v="0"/>
    <x v="0"/>
    <x v="0"/>
    <n v="32"/>
    <n v="37"/>
    <n v="0.88422757648663486"/>
    <n v="0.9816949523815679"/>
    <n v="0.94040149570420306"/>
    <n v="21490"/>
    <n v="1.0188914361197345"/>
  </r>
  <r>
    <s v="REC-0172"/>
    <d v="2024-06-05T00:00:00"/>
    <x v="5"/>
    <x v="1"/>
    <x v="1"/>
    <x v="0"/>
    <x v="0"/>
    <x v="1"/>
    <n v="29"/>
    <n v="26"/>
    <n v="0.84436490420876087"/>
    <n v="0.98959838474715278"/>
    <n v="0.9418310834472382"/>
    <n v="14560"/>
    <n v="0.90651789010888317"/>
  </r>
  <r>
    <s v="REC-0173"/>
    <d v="2024-06-05T00:00:00"/>
    <x v="5"/>
    <x v="5"/>
    <x v="5"/>
    <x v="1"/>
    <x v="1"/>
    <x v="2"/>
    <n v="48"/>
    <n v="53"/>
    <n v="0.98268516278802098"/>
    <n v="0.96541501886745629"/>
    <n v="0.90484722384834215"/>
    <n v="23020"/>
    <n v="1.0131196549634589"/>
  </r>
  <r>
    <s v="REC-0174"/>
    <d v="2024-06-05T00:00:00"/>
    <x v="5"/>
    <x v="4"/>
    <x v="4"/>
    <x v="2"/>
    <x v="2"/>
    <x v="1"/>
    <n v="49"/>
    <n v="55"/>
    <n v="0.9564655655051183"/>
    <n v="0.9839139040933087"/>
    <n v="0.95959699622927475"/>
    <n v="23770"/>
    <n v="1.0276024680728655"/>
  </r>
  <r>
    <s v="REC-0175"/>
    <d v="2024-06-06T00:00:00"/>
    <x v="5"/>
    <x v="4"/>
    <x v="4"/>
    <x v="2"/>
    <x v="2"/>
    <x v="1"/>
    <n v="54"/>
    <n v="46"/>
    <n v="0.9628290543701421"/>
    <n v="0.98169356455364098"/>
    <n v="0.95025808543350432"/>
    <n v="21930"/>
    <n v="0.9187536561030234"/>
  </r>
  <r>
    <s v="REC-0176"/>
    <d v="2024-06-07T00:00:00"/>
    <x v="5"/>
    <x v="4"/>
    <x v="4"/>
    <x v="2"/>
    <x v="2"/>
    <x v="1"/>
    <n v="36"/>
    <n v="41"/>
    <n v="0.995"/>
    <n v="0.98044763234740206"/>
    <n v="0.96312284023049166"/>
    <n v="20790"/>
    <n v="1.0439972684537642"/>
  </r>
  <r>
    <s v="REC-0177"/>
    <d v="2024-06-07T00:00:00"/>
    <x v="5"/>
    <x v="4"/>
    <x v="4"/>
    <x v="2"/>
    <x v="2"/>
    <x v="1"/>
    <n v="48"/>
    <n v="46"/>
    <n v="0.97307097141016519"/>
    <n v="0.99591912405600935"/>
    <n v="0.95169993864676994"/>
    <n v="24180"/>
    <n v="0.96632893252363006"/>
  </r>
  <r>
    <s v="REC-0178"/>
    <d v="2024-06-10T00:00:00"/>
    <x v="5"/>
    <x v="3"/>
    <x v="3"/>
    <x v="2"/>
    <x v="2"/>
    <x v="0"/>
    <n v="53"/>
    <n v="49"/>
    <n v="0.88776975693492532"/>
    <n v="0.95830794229077387"/>
    <n v="0.93268033014875762"/>
    <n v="24540"/>
    <n v="0.92203601736181606"/>
  </r>
  <r>
    <s v="REC-0179"/>
    <d v="2024-06-12T00:00:00"/>
    <x v="5"/>
    <x v="5"/>
    <x v="5"/>
    <x v="1"/>
    <x v="1"/>
    <x v="2"/>
    <n v="33"/>
    <n v="32"/>
    <n v="0.9377601794686119"/>
    <n v="0.987028933147996"/>
    <n v="0.90907827333139024"/>
    <n v="14320"/>
    <n v="0.95218882738441835"/>
  </r>
  <r>
    <s v="REC-0180"/>
    <d v="2024-06-14T00:00:00"/>
    <x v="5"/>
    <x v="2"/>
    <x v="2"/>
    <x v="1"/>
    <x v="1"/>
    <x v="0"/>
    <n v="33"/>
    <n v="33"/>
    <n v="0.86340325299075105"/>
    <n v="0.95392586877186902"/>
    <n v="0.87486145697652307"/>
    <n v="12890"/>
    <n v="0.9339119849587727"/>
  </r>
  <r>
    <s v="REC-0181"/>
    <d v="2024-06-14T00:00:00"/>
    <x v="5"/>
    <x v="5"/>
    <x v="5"/>
    <x v="1"/>
    <x v="1"/>
    <x v="2"/>
    <n v="45"/>
    <n v="45"/>
    <n v="0.995"/>
    <n v="0.962518906989694"/>
    <n v="0.93792581734798142"/>
    <n v="17290"/>
    <n v="0.98071299951805047"/>
  </r>
  <r>
    <s v="REC-0182"/>
    <d v="2024-06-14T00:00:00"/>
    <x v="5"/>
    <x v="4"/>
    <x v="4"/>
    <x v="2"/>
    <x v="2"/>
    <x v="1"/>
    <n v="50"/>
    <n v="50"/>
    <n v="0.96907137766177487"/>
    <n v="0.93737479267946455"/>
    <n v="0.93291024308106929"/>
    <n v="24010"/>
    <n v="0.96945611193357728"/>
  </r>
  <r>
    <s v="REC-0183"/>
    <d v="2024-06-18T00:00:00"/>
    <x v="5"/>
    <x v="3"/>
    <x v="3"/>
    <x v="2"/>
    <x v="2"/>
    <x v="0"/>
    <n v="35"/>
    <n v="38"/>
    <n v="0.94758748695892825"/>
    <n v="0.9627725782602079"/>
    <n v="0.95686344904936127"/>
    <n v="16950"/>
    <n v="1.0069711625743498"/>
  </r>
  <r>
    <s v="REC-0184"/>
    <d v="2024-06-19T00:00:00"/>
    <x v="5"/>
    <x v="3"/>
    <x v="3"/>
    <x v="2"/>
    <x v="2"/>
    <x v="0"/>
    <n v="50"/>
    <n v="45"/>
    <n v="0.94026859567960919"/>
    <n v="0.95424439684542428"/>
    <n v="0.88115680623458026"/>
    <n v="21450"/>
    <n v="0.91443516969363203"/>
  </r>
  <r>
    <s v="REC-0185"/>
    <d v="2024-06-20T00:00:00"/>
    <x v="5"/>
    <x v="1"/>
    <x v="1"/>
    <x v="0"/>
    <x v="0"/>
    <x v="1"/>
    <n v="52"/>
    <n v="52"/>
    <n v="0.92016197220922935"/>
    <n v="0.98457838214739446"/>
    <n v="0.96608395324245622"/>
    <n v="30890"/>
    <n v="0.97094404102290788"/>
  </r>
  <r>
    <s v="REC-0186"/>
    <d v="2024-06-26T00:00:00"/>
    <x v="5"/>
    <x v="0"/>
    <x v="0"/>
    <x v="0"/>
    <x v="0"/>
    <x v="0"/>
    <n v="42"/>
    <n v="48"/>
    <n v="0.92890514666020518"/>
    <n v="0.95113950894395627"/>
    <n v="0.96681154937046909"/>
    <n v="29220"/>
    <n v="1.0254023800235956"/>
  </r>
  <r>
    <s v="REC-0187"/>
    <d v="2024-06-26T00:00:00"/>
    <x v="5"/>
    <x v="5"/>
    <x v="5"/>
    <x v="1"/>
    <x v="1"/>
    <x v="2"/>
    <n v="33"/>
    <n v="39"/>
    <n v="0.9430008817668325"/>
    <n v="0.9932560907047524"/>
    <n v="0.94018271370699003"/>
    <n v="18580"/>
    <n v="1.0455024495160918"/>
  </r>
  <r>
    <s v="REC-0188"/>
    <d v="2024-06-27T00:00:00"/>
    <x v="5"/>
    <x v="3"/>
    <x v="3"/>
    <x v="2"/>
    <x v="2"/>
    <x v="0"/>
    <n v="45"/>
    <n v="47"/>
    <n v="0.95797150633959427"/>
    <n v="0.97263119708746326"/>
    <n v="0.93493971416694099"/>
    <n v="21240"/>
    <n v="0.99015327675918408"/>
  </r>
  <r>
    <s v="REC-0189"/>
    <d v="2024-06-28T00:00:00"/>
    <x v="5"/>
    <x v="0"/>
    <x v="0"/>
    <x v="0"/>
    <x v="0"/>
    <x v="0"/>
    <n v="51"/>
    <n v="61"/>
    <n v="0.9413592853745022"/>
    <n v="0.93850409108434152"/>
    <n v="0.90673211130540887"/>
    <n v="37650"/>
    <n v="1.0358932298163781"/>
  </r>
  <r>
    <s v="REC-0190"/>
    <d v="2024-06-28T00:00:00"/>
    <x v="5"/>
    <x v="4"/>
    <x v="4"/>
    <x v="2"/>
    <x v="2"/>
    <x v="1"/>
    <n v="41"/>
    <n v="50"/>
    <n v="0.96725357063067452"/>
    <n v="0.95945896181641332"/>
    <n v="0.995"/>
    <n v="26180"/>
    <n v="1.0647322369301306"/>
  </r>
  <r>
    <s v="REC-0191"/>
    <d v="2024-06-28T00:00:00"/>
    <x v="5"/>
    <x v="4"/>
    <x v="4"/>
    <x v="2"/>
    <x v="2"/>
    <x v="1"/>
    <n v="42"/>
    <n v="46"/>
    <n v="0.93729320580333031"/>
    <n v="1"/>
    <n v="0.9803135045073309"/>
    <n v="21170"/>
    <n v="1.018481240447537"/>
  </r>
  <r>
    <s v="REC-0192"/>
    <d v="2024-07-01T00:00:00"/>
    <x v="6"/>
    <x v="3"/>
    <x v="3"/>
    <x v="2"/>
    <x v="2"/>
    <x v="0"/>
    <n v="33"/>
    <n v="30"/>
    <n v="0.90061183408109446"/>
    <n v="0.95130564775995419"/>
    <n v="0.906123064691153"/>
    <n v="14870"/>
    <n v="0.91270978225886101"/>
  </r>
  <r>
    <s v="REC-0193"/>
    <d v="2024-07-02T00:00:00"/>
    <x v="6"/>
    <x v="5"/>
    <x v="5"/>
    <x v="1"/>
    <x v="1"/>
    <x v="2"/>
    <n v="35"/>
    <n v="38"/>
    <n v="0.88443323866604129"/>
    <n v="0.98652160720996718"/>
    <n v="0.91709648299988367"/>
    <n v="15760"/>
    <n v="0.98679156163369641"/>
  </r>
  <r>
    <s v="REC-0194"/>
    <d v="2024-07-03T00:00:00"/>
    <x v="6"/>
    <x v="3"/>
    <x v="3"/>
    <x v="2"/>
    <x v="2"/>
    <x v="0"/>
    <n v="52"/>
    <n v="43"/>
    <n v="0.90383680918996545"/>
    <n v="0.94277123156069098"/>
    <n v="0.9322434584854643"/>
    <n v="18880"/>
    <n v="0.88459280949791874"/>
  </r>
  <r>
    <s v="REC-0195"/>
    <d v="2024-07-04T00:00:00"/>
    <x v="6"/>
    <x v="2"/>
    <x v="2"/>
    <x v="1"/>
    <x v="1"/>
    <x v="0"/>
    <n v="49"/>
    <n v="48"/>
    <n v="0.85442067535293875"/>
    <n v="0.97485109572120843"/>
    <n v="0.83962273527516407"/>
    <n v="21550"/>
    <n v="0.91959411494532628"/>
  </r>
  <r>
    <s v="REC-0196"/>
    <d v="2024-07-05T00:00:00"/>
    <x v="6"/>
    <x v="4"/>
    <x v="4"/>
    <x v="2"/>
    <x v="2"/>
    <x v="1"/>
    <n v="33"/>
    <n v="34"/>
    <n v="0.94041245044131816"/>
    <n v="1"/>
    <n v="0.97679597236851978"/>
    <n v="15110"/>
    <n v="0.99258351920524568"/>
  </r>
  <r>
    <s v="REC-0197"/>
    <d v="2024-07-09T00:00:00"/>
    <x v="6"/>
    <x v="1"/>
    <x v="1"/>
    <x v="0"/>
    <x v="0"/>
    <x v="1"/>
    <n v="31"/>
    <n v="30"/>
    <n v="0.93363589115326751"/>
    <n v="0.95786036603927827"/>
    <n v="0.95130779349265748"/>
    <n v="14830"/>
    <n v="0.95444636058628851"/>
  </r>
  <r>
    <s v="REC-0198"/>
    <d v="2024-07-09T00:00:00"/>
    <x v="6"/>
    <x v="2"/>
    <x v="2"/>
    <x v="1"/>
    <x v="1"/>
    <x v="0"/>
    <n v="30"/>
    <n v="25"/>
    <n v="0.87989528991854105"/>
    <n v="0.95084448543511091"/>
    <n v="0.90358633900196528"/>
    <n v="10980"/>
    <n v="0.87665109642862837"/>
  </r>
  <r>
    <s v="REC-0199"/>
    <d v="2024-07-09T00:00:00"/>
    <x v="6"/>
    <x v="2"/>
    <x v="2"/>
    <x v="1"/>
    <x v="1"/>
    <x v="0"/>
    <n v="49"/>
    <n v="43"/>
    <n v="0.88841593788799578"/>
    <n v="0.95209107990870101"/>
    <n v="0.8676258759774278"/>
    <n v="15980"/>
    <n v="0.88946322981705506"/>
  </r>
  <r>
    <s v="REC-0200"/>
    <d v="2024-07-09T00:00:00"/>
    <x v="6"/>
    <x v="3"/>
    <x v="3"/>
    <x v="2"/>
    <x v="2"/>
    <x v="0"/>
    <n v="43"/>
    <n v="34"/>
    <n v="0.92482130334865964"/>
    <n v="0.98295962276682713"/>
    <n v="0.97144086603768587"/>
    <n v="16550"/>
    <n v="0.88921651222716802"/>
  </r>
  <r>
    <s v="REC-0201"/>
    <d v="2024-07-09T00:00:00"/>
    <x v="6"/>
    <x v="4"/>
    <x v="4"/>
    <x v="2"/>
    <x v="2"/>
    <x v="1"/>
    <n v="54"/>
    <n v="54"/>
    <n v="0.98246122272741576"/>
    <n v="1"/>
    <n v="0.98324755738502401"/>
    <n v="28560"/>
    <n v="0.99226481715885884"/>
  </r>
  <r>
    <s v="REC-0202"/>
    <d v="2024-07-11T00:00:00"/>
    <x v="6"/>
    <x v="0"/>
    <x v="0"/>
    <x v="0"/>
    <x v="0"/>
    <x v="0"/>
    <n v="45"/>
    <n v="42"/>
    <n v="0.97867489394684015"/>
    <n v="0.97558118151876616"/>
    <n v="0.91680135906911864"/>
    <n v="27500"/>
    <n v="0.94769950586168206"/>
  </r>
  <r>
    <s v="REC-0203"/>
    <d v="2024-07-11T00:00:00"/>
    <x v="6"/>
    <x v="4"/>
    <x v="4"/>
    <x v="2"/>
    <x v="2"/>
    <x v="1"/>
    <n v="53"/>
    <n v="58"/>
    <n v="0.92096297988727216"/>
    <n v="0.96082336505206634"/>
    <n v="0.95885079651202365"/>
    <n v="30710"/>
    <n v="1.0038702580886365"/>
  </r>
  <r>
    <s v="REC-0204"/>
    <d v="2024-07-11T00:00:00"/>
    <x v="6"/>
    <x v="4"/>
    <x v="4"/>
    <x v="2"/>
    <x v="2"/>
    <x v="1"/>
    <n v="53"/>
    <n v="61"/>
    <n v="0.9402146273735984"/>
    <n v="0.99076178643319657"/>
    <n v="0.94124563837169239"/>
    <n v="29720"/>
    <n v="1.0322944109732837"/>
  </r>
  <r>
    <s v="REC-0205"/>
    <d v="2024-07-12T00:00:00"/>
    <x v="6"/>
    <x v="0"/>
    <x v="0"/>
    <x v="0"/>
    <x v="0"/>
    <x v="0"/>
    <n v="43"/>
    <n v="45"/>
    <n v="0.92275902079791672"/>
    <n v="0.97070531127728232"/>
    <n v="0.95117973241217535"/>
    <n v="23990"/>
    <n v="0.98513614953629736"/>
  </r>
  <r>
    <s v="REC-0206"/>
    <d v="2024-07-12T00:00:00"/>
    <x v="6"/>
    <x v="5"/>
    <x v="5"/>
    <x v="1"/>
    <x v="1"/>
    <x v="2"/>
    <n v="51"/>
    <n v="48"/>
    <n v="0.97365581406812773"/>
    <n v="0.98674215415761135"/>
    <n v="0.87309993470960545"/>
    <n v="18900"/>
    <n v="0.94251585181788888"/>
  </r>
  <r>
    <s v="REC-0207"/>
    <d v="2024-07-15T00:00:00"/>
    <x v="6"/>
    <x v="3"/>
    <x v="3"/>
    <x v="2"/>
    <x v="2"/>
    <x v="0"/>
    <n v="31"/>
    <n v="33"/>
    <n v="0.93812072296839422"/>
    <n v="0.94402512006479145"/>
    <n v="0.96018131009505103"/>
    <n v="15770"/>
    <n v="0.99397666238373072"/>
  </r>
  <r>
    <s v="REC-0208"/>
    <d v="2024-07-16T00:00:00"/>
    <x v="6"/>
    <x v="0"/>
    <x v="0"/>
    <x v="0"/>
    <x v="0"/>
    <x v="0"/>
    <n v="38"/>
    <n v="43"/>
    <n v="0.96215316184009325"/>
    <n v="0.97088134418737182"/>
    <n v="0.9127727167860169"/>
    <n v="22950"/>
    <n v="1.0213566143927009"/>
  </r>
  <r>
    <s v="REC-0209"/>
    <d v="2024-07-17T00:00:00"/>
    <x v="6"/>
    <x v="2"/>
    <x v="2"/>
    <x v="1"/>
    <x v="1"/>
    <x v="0"/>
    <n v="37"/>
    <n v="35"/>
    <n v="0.91658337701924364"/>
    <n v="0.97216031681770632"/>
    <n v="0.89296278103458493"/>
    <n v="13150"/>
    <n v="0.93194082636276221"/>
  </r>
  <r>
    <s v="REC-0210"/>
    <d v="2024-07-17T00:00:00"/>
    <x v="6"/>
    <x v="4"/>
    <x v="4"/>
    <x v="2"/>
    <x v="2"/>
    <x v="1"/>
    <n v="38"/>
    <n v="38"/>
    <n v="0.96299636891705553"/>
    <n v="0.96508344263068635"/>
    <n v="0.93502419037840767"/>
    <n v="16710"/>
    <n v="0.9725164466995484"/>
  </r>
  <r>
    <s v="REC-0211"/>
    <d v="2024-07-19T00:00:00"/>
    <x v="6"/>
    <x v="4"/>
    <x v="4"/>
    <x v="2"/>
    <x v="2"/>
    <x v="1"/>
    <n v="50"/>
    <n v="54"/>
    <n v="0.91557944826959348"/>
    <n v="1"/>
    <n v="0.995"/>
    <n v="27840"/>
    <n v="1.0098948620673984"/>
  </r>
  <r>
    <s v="REC-0212"/>
    <d v="2024-07-22T00:00:00"/>
    <x v="6"/>
    <x v="0"/>
    <x v="0"/>
    <x v="0"/>
    <x v="0"/>
    <x v="0"/>
    <n v="30"/>
    <n v="28"/>
    <n v="0.91527940839662203"/>
    <n v="0.97124964603484354"/>
    <n v="0.97169292665524054"/>
    <n v="15220"/>
    <n v="0.94217921766876345"/>
  </r>
  <r>
    <s v="REC-0213"/>
    <d v="2024-07-22T00:00:00"/>
    <x v="6"/>
    <x v="2"/>
    <x v="2"/>
    <x v="1"/>
    <x v="1"/>
    <x v="0"/>
    <n v="32"/>
    <n v="32"/>
    <n v="0.90390728519771346"/>
    <n v="0.91538107988634643"/>
    <n v="0.89817905185481639"/>
    <n v="11320"/>
    <n v="0.94291979365334366"/>
  </r>
  <r>
    <s v="REC-0214"/>
    <d v="2024-07-24T00:00:00"/>
    <x v="6"/>
    <x v="5"/>
    <x v="5"/>
    <x v="1"/>
    <x v="1"/>
    <x v="2"/>
    <n v="53"/>
    <n v="59"/>
    <n v="0.98490519554268774"/>
    <n v="1"/>
    <n v="0.92564081256200281"/>
    <n v="24130"/>
    <n v="1.026637480265997"/>
  </r>
  <r>
    <s v="REC-0215"/>
    <d v="2024-07-24T00:00:00"/>
    <x v="6"/>
    <x v="5"/>
    <x v="5"/>
    <x v="1"/>
    <x v="1"/>
    <x v="2"/>
    <n v="34"/>
    <n v="33"/>
    <n v="0.93648215746171548"/>
    <n v="0.96484437734956763"/>
    <n v="0.95331886076344763"/>
    <n v="15680"/>
    <n v="0.95774626223820047"/>
  </r>
  <r>
    <s v="REC-0216"/>
    <d v="2024-07-24T00:00:00"/>
    <x v="6"/>
    <x v="5"/>
    <x v="5"/>
    <x v="1"/>
    <x v="1"/>
    <x v="2"/>
    <n v="47"/>
    <n v="44"/>
    <n v="0.97354059998054276"/>
    <n v="0.99743967240567943"/>
    <n v="0.9412100005815961"/>
    <n v="18280"/>
    <n v="0.95571118607868977"/>
  </r>
  <r>
    <s v="REC-0217"/>
    <d v="2024-07-26T00:00:00"/>
    <x v="6"/>
    <x v="0"/>
    <x v="0"/>
    <x v="0"/>
    <x v="0"/>
    <x v="0"/>
    <n v="37"/>
    <n v="44"/>
    <n v="0.92668349163279495"/>
    <n v="0.97132225429570496"/>
    <n v="0.90776754213829758"/>
    <n v="22730"/>
    <n v="1.0345983951558897"/>
  </r>
  <r>
    <s v="REC-0218"/>
    <d v="2024-07-26T00:00:00"/>
    <x v="6"/>
    <x v="2"/>
    <x v="2"/>
    <x v="1"/>
    <x v="1"/>
    <x v="0"/>
    <n v="38"/>
    <n v="39"/>
    <n v="0.92857605451798553"/>
    <n v="0.95907506203522175"/>
    <n v="0.89535517843491841"/>
    <n v="17080"/>
    <n v="0.96560262441123712"/>
  </r>
  <r>
    <s v="REC-0219"/>
    <d v="2024-07-26T00:00:00"/>
    <x v="6"/>
    <x v="3"/>
    <x v="3"/>
    <x v="2"/>
    <x v="2"/>
    <x v="0"/>
    <n v="39"/>
    <n v="37"/>
    <n v="0.93812175477350968"/>
    <n v="0.97944542280500368"/>
    <n v="0.90652921798308572"/>
    <n v="14910"/>
    <n v="0.94224027519792464"/>
  </r>
  <r>
    <s v="REC-0220"/>
    <d v="2024-07-26T00:00:00"/>
    <x v="6"/>
    <x v="4"/>
    <x v="4"/>
    <x v="2"/>
    <x v="2"/>
    <x v="1"/>
    <n v="28"/>
    <n v="29"/>
    <n v="0.94776680047553152"/>
    <n v="0.94578873491161997"/>
    <n v="0.9836434794148512"/>
    <n v="14190"/>
    <n v="0.98982442052431052"/>
  </r>
  <r>
    <s v="REC-0221"/>
    <d v="2024-07-26T00:00:00"/>
    <x v="6"/>
    <x v="4"/>
    <x v="4"/>
    <x v="2"/>
    <x v="2"/>
    <x v="1"/>
    <n v="33"/>
    <n v="29"/>
    <n v="0.93909654914052187"/>
    <n v="0.9719315208305318"/>
    <n v="0.95073331232643166"/>
    <n v="13600"/>
    <n v="0.9222256793901481"/>
  </r>
  <r>
    <s v="REC-0222"/>
    <d v="2024-07-29T00:00:00"/>
    <x v="6"/>
    <x v="1"/>
    <x v="1"/>
    <x v="0"/>
    <x v="0"/>
    <x v="1"/>
    <n v="46"/>
    <n v="47"/>
    <n v="0.91178176295917968"/>
    <n v="0.95532315831067471"/>
    <n v="0.95946256893457704"/>
    <n v="28400"/>
    <n v="0.97183208044722469"/>
  </r>
  <r>
    <s v="REC-0223"/>
    <d v="2024-07-30T00:00:00"/>
    <x v="6"/>
    <x v="1"/>
    <x v="1"/>
    <x v="0"/>
    <x v="0"/>
    <x v="1"/>
    <n v="45"/>
    <n v="43"/>
    <n v="0.93877019087304392"/>
    <n v="0.97769938737634687"/>
    <n v="0.98273916066674105"/>
    <n v="22490"/>
    <n v="0.96011751018028346"/>
  </r>
  <r>
    <s v="REC-0224"/>
    <d v="2024-08-02T00:00:00"/>
    <x v="7"/>
    <x v="2"/>
    <x v="2"/>
    <x v="1"/>
    <x v="1"/>
    <x v="0"/>
    <n v="54"/>
    <n v="46"/>
    <n v="0.91694928297551259"/>
    <n v="0.9326742027751086"/>
    <n v="0.88729575682668238"/>
    <n v="16220"/>
    <n v="0.88733834326622174"/>
  </r>
  <r>
    <s v="REC-0225"/>
    <d v="2024-08-02T00:00:00"/>
    <x v="7"/>
    <x v="2"/>
    <x v="2"/>
    <x v="1"/>
    <x v="1"/>
    <x v="0"/>
    <n v="41"/>
    <n v="38"/>
    <n v="0.93572584559025074"/>
    <n v="0.96524450472921997"/>
    <n v="0.87110222738035181"/>
    <n v="13620"/>
    <n v="0.92367028990008926"/>
  </r>
  <r>
    <s v="REC-0226"/>
    <d v="2024-08-02T00:00:00"/>
    <x v="7"/>
    <x v="3"/>
    <x v="3"/>
    <x v="2"/>
    <x v="2"/>
    <x v="0"/>
    <n v="50"/>
    <n v="44"/>
    <n v="0.96291924444734867"/>
    <n v="0.97286864727674871"/>
    <n v="0.91442926178370743"/>
    <n v="19060"/>
    <n v="0.92154596056009097"/>
  </r>
  <r>
    <s v="REC-0227"/>
    <d v="2024-08-02T00:00:00"/>
    <x v="7"/>
    <x v="3"/>
    <x v="3"/>
    <x v="2"/>
    <x v="2"/>
    <x v="0"/>
    <n v="35"/>
    <n v="32"/>
    <n v="0.90933925302983387"/>
    <n v="0.96662431411416305"/>
    <n v="0.8980547297076249"/>
    <n v="12980"/>
    <n v="0.91765369203039371"/>
  </r>
  <r>
    <s v="REC-0228"/>
    <d v="2024-08-02T00:00:00"/>
    <x v="7"/>
    <x v="3"/>
    <x v="3"/>
    <x v="2"/>
    <x v="2"/>
    <x v="0"/>
    <n v="52"/>
    <n v="50"/>
    <n v="0.89869544460160866"/>
    <n v="0.97717751678057019"/>
    <n v="0.97973219038061554"/>
    <n v="24730"/>
    <n v="0.95181231135899547"/>
  </r>
  <r>
    <s v="REC-0229"/>
    <d v="2024-08-02T00:00:00"/>
    <x v="7"/>
    <x v="4"/>
    <x v="4"/>
    <x v="2"/>
    <x v="2"/>
    <x v="1"/>
    <n v="51"/>
    <n v="52"/>
    <n v="0.95710738483441349"/>
    <n v="0.96622222938717439"/>
    <n v="0.96695716298621481"/>
    <n v="25060"/>
    <n v="0.9854447504688244"/>
  </r>
  <r>
    <s v="REC-0230"/>
    <d v="2024-08-07T00:00:00"/>
    <x v="7"/>
    <x v="4"/>
    <x v="4"/>
    <x v="2"/>
    <x v="2"/>
    <x v="1"/>
    <n v="47"/>
    <n v="48"/>
    <n v="0.995"/>
    <n v="0.97080640850225275"/>
    <n v="0.97076325953534626"/>
    <n v="25530"/>
    <n v="0.99703425148027947"/>
  </r>
  <r>
    <s v="REC-0231"/>
    <d v="2024-08-08T00:00:00"/>
    <x v="7"/>
    <x v="1"/>
    <x v="1"/>
    <x v="0"/>
    <x v="0"/>
    <x v="1"/>
    <n v="54"/>
    <n v="58"/>
    <n v="0.96903375679433568"/>
    <n v="0.94536478957481274"/>
    <n v="0.93209773922385353"/>
    <n v="34680"/>
    <n v="1.0001123351092063"/>
  </r>
  <r>
    <s v="REC-0232"/>
    <d v="2024-08-09T00:00:00"/>
    <x v="7"/>
    <x v="3"/>
    <x v="3"/>
    <x v="2"/>
    <x v="2"/>
    <x v="0"/>
    <n v="32"/>
    <n v="29"/>
    <n v="0.94549191642020758"/>
    <n v="0.96322574028457775"/>
    <n v="0.93996812800412932"/>
    <n v="14030"/>
    <n v="0.9313504657485645"/>
  </r>
  <r>
    <s v="REC-0233"/>
    <d v="2024-08-12T00:00:00"/>
    <x v="7"/>
    <x v="4"/>
    <x v="4"/>
    <x v="2"/>
    <x v="2"/>
    <x v="1"/>
    <n v="28"/>
    <n v="33"/>
    <n v="0.93471023809994169"/>
    <n v="1"/>
    <n v="0.995"/>
    <n v="16060"/>
    <n v="1.0541061309535569"/>
  </r>
  <r>
    <s v="REC-0234"/>
    <d v="2024-08-13T00:00:00"/>
    <x v="7"/>
    <x v="0"/>
    <x v="0"/>
    <x v="0"/>
    <x v="0"/>
    <x v="0"/>
    <n v="30"/>
    <n v="29"/>
    <n v="0.94637229704831916"/>
    <n v="0.97778113486842078"/>
    <n v="0.9204045595679724"/>
    <n v="18610"/>
    <n v="0.95400782307260412"/>
  </r>
  <r>
    <s v="REC-0235"/>
    <d v="2024-08-13T00:00:00"/>
    <x v="7"/>
    <x v="5"/>
    <x v="5"/>
    <x v="1"/>
    <x v="1"/>
    <x v="2"/>
    <n v="32"/>
    <n v="32"/>
    <n v="0.90653620645105149"/>
    <n v="0.98880520061257959"/>
    <n v="0.90169250785797317"/>
    <n v="13910"/>
    <n v="0.95529333327624433"/>
  </r>
  <r>
    <s v="REC-0236"/>
    <d v="2024-08-13T00:00:00"/>
    <x v="7"/>
    <x v="3"/>
    <x v="3"/>
    <x v="2"/>
    <x v="2"/>
    <x v="0"/>
    <n v="37"/>
    <n v="37"/>
    <n v="0.93479590941135826"/>
    <n v="0.95245555162427331"/>
    <n v="0.98565572162833393"/>
    <n v="17400"/>
    <n v="0.97369845442214742"/>
  </r>
  <r>
    <s v="REC-0237"/>
    <d v="2024-08-15T00:00:00"/>
    <x v="7"/>
    <x v="2"/>
    <x v="2"/>
    <x v="1"/>
    <x v="1"/>
    <x v="0"/>
    <n v="32"/>
    <n v="30"/>
    <n v="0.92512839599119434"/>
    <n v="0.93347730483862157"/>
    <n v="0.83143436287724848"/>
    <n v="10680"/>
    <n v="0.91259056729904153"/>
  </r>
  <r>
    <s v="REC-0238"/>
    <d v="2024-08-15T00:00:00"/>
    <x v="7"/>
    <x v="5"/>
    <x v="5"/>
    <x v="1"/>
    <x v="1"/>
    <x v="2"/>
    <n v="32"/>
    <n v="33"/>
    <n v="0.94031641510262787"/>
    <n v="0.98136621430979731"/>
    <n v="0.93382254205677295"/>
    <n v="12540"/>
    <n v="0.98154854433348115"/>
  </r>
  <r>
    <s v="REC-0239"/>
    <d v="2024-08-16T00:00:00"/>
    <x v="7"/>
    <x v="1"/>
    <x v="1"/>
    <x v="0"/>
    <x v="0"/>
    <x v="1"/>
    <n v="38"/>
    <n v="36"/>
    <n v="0.93692553248933697"/>
    <n v="0.9538440706334026"/>
    <n v="0.93030419178721679"/>
    <n v="17660"/>
    <n v="0.94231620049584064"/>
  </r>
  <r>
    <s v="REC-0240"/>
    <d v="2024-08-16T00:00:00"/>
    <x v="7"/>
    <x v="2"/>
    <x v="2"/>
    <x v="1"/>
    <x v="1"/>
    <x v="0"/>
    <n v="37"/>
    <n v="35"/>
    <n v="0.86245843713169967"/>
    <n v="0.9423508505685344"/>
    <n v="0.86089256495307576"/>
    <n v="13830"/>
    <n v="0.90752412823719852"/>
  </r>
  <r>
    <s v="REC-0241"/>
    <d v="2024-08-19T00:00:00"/>
    <x v="7"/>
    <x v="3"/>
    <x v="3"/>
    <x v="2"/>
    <x v="2"/>
    <x v="0"/>
    <n v="33"/>
    <n v="31"/>
    <n v="0.93257708233963843"/>
    <n v="0.93083615673809428"/>
    <n v="0.9405066046832018"/>
    <n v="15140"/>
    <n v="0.93662859078983984"/>
  </r>
  <r>
    <s v="REC-0242"/>
    <d v="2024-08-21T00:00:00"/>
    <x v="7"/>
    <x v="2"/>
    <x v="2"/>
    <x v="1"/>
    <x v="1"/>
    <x v="0"/>
    <n v="35"/>
    <n v="34"/>
    <n v="0.90362358489725159"/>
    <n v="0.9330121849139037"/>
    <n v="0.93757443483226899"/>
    <n v="15260"/>
    <n v="0.94194403949928085"/>
  </r>
  <r>
    <s v="REC-0243"/>
    <d v="2024-08-21T00:00:00"/>
    <x v="7"/>
    <x v="4"/>
    <x v="4"/>
    <x v="2"/>
    <x v="2"/>
    <x v="1"/>
    <n v="35"/>
    <n v="37"/>
    <n v="0.94807414145568025"/>
    <n v="0.97760017282409362"/>
    <n v="0.93414055181833755"/>
    <n v="16320"/>
    <n v="0.99334381450834452"/>
  </r>
  <r>
    <s v="REC-0244"/>
    <d v="2024-08-21T00:00:00"/>
    <x v="7"/>
    <x v="4"/>
    <x v="4"/>
    <x v="2"/>
    <x v="2"/>
    <x v="1"/>
    <n v="36"/>
    <n v="36"/>
    <n v="0.97621240598528447"/>
    <n v="0.96704547217342141"/>
    <n v="0.98330458415213495"/>
    <n v="16950"/>
    <n v="0.98577083915276131"/>
  </r>
  <r>
    <s v="REC-0245"/>
    <d v="2024-08-23T00:00:00"/>
    <x v="7"/>
    <x v="0"/>
    <x v="0"/>
    <x v="0"/>
    <x v="0"/>
    <x v="0"/>
    <n v="47"/>
    <n v="50"/>
    <n v="0.92455719952666793"/>
    <n v="0.97502294105172749"/>
    <n v="0.94907595639943332"/>
    <n v="30680"/>
    <n v="0.99273984721292985"/>
  </r>
  <r>
    <s v="REC-0246"/>
    <d v="2024-08-23T00:00:00"/>
    <x v="7"/>
    <x v="5"/>
    <x v="5"/>
    <x v="1"/>
    <x v="1"/>
    <x v="2"/>
    <n v="45"/>
    <n v="44"/>
    <n v="0.96201270184568222"/>
    <n v="0.96708373322447627"/>
    <n v="0.89075560223036387"/>
    <n v="20810"/>
    <n v="0.9548279670022759"/>
  </r>
  <r>
    <s v="REC-0247"/>
    <d v="2024-08-23T00:00:00"/>
    <x v="7"/>
    <x v="4"/>
    <x v="4"/>
    <x v="2"/>
    <x v="2"/>
    <x v="1"/>
    <n v="47"/>
    <n v="50"/>
    <n v="0.995"/>
    <n v="0.96258317281978201"/>
    <n v="0.995"/>
    <n v="24160"/>
    <n v="1.0176693908165844"/>
  </r>
  <r>
    <s v="REC-0248"/>
    <d v="2024-08-30T00:00:00"/>
    <x v="7"/>
    <x v="1"/>
    <x v="1"/>
    <x v="0"/>
    <x v="0"/>
    <x v="1"/>
    <n v="48"/>
    <n v="49"/>
    <n v="0.92126999011566424"/>
    <n v="0.99130175716346025"/>
    <n v="0.94906089368288227"/>
    <n v="26080"/>
    <n v="0.9771582731733448"/>
  </r>
  <r>
    <s v="REC-0249"/>
    <d v="2024-08-30T00:00:00"/>
    <x v="7"/>
    <x v="1"/>
    <x v="1"/>
    <x v="0"/>
    <x v="0"/>
    <x v="1"/>
    <n v="31"/>
    <n v="32"/>
    <n v="0.92682145289406859"/>
    <n v="0.96979421940301225"/>
    <n v="0.96496591406743237"/>
    <n v="16250"/>
    <n v="0.98307090475390702"/>
  </r>
  <r>
    <s v="REC-0250"/>
    <d v="2024-08-30T00:00:00"/>
    <x v="7"/>
    <x v="2"/>
    <x v="2"/>
    <x v="1"/>
    <x v="1"/>
    <x v="0"/>
    <n v="37"/>
    <n v="36"/>
    <n v="0.91403030525707063"/>
    <n v="0.93385066720037313"/>
    <n v="0.8611078011019806"/>
    <n v="12720"/>
    <n v="0.929995925803909"/>
  </r>
  <r>
    <s v="REC-0251"/>
    <d v="2024-08-30T00:00:00"/>
    <x v="7"/>
    <x v="2"/>
    <x v="2"/>
    <x v="1"/>
    <x v="1"/>
    <x v="0"/>
    <n v="55"/>
    <n v="62"/>
    <n v="0.88536700791036782"/>
    <n v="0.93782554050247646"/>
    <n v="0.84840226844599553"/>
    <n v="22330"/>
    <n v="0.98260512765125352"/>
  </r>
  <r>
    <s v="REC-0252"/>
    <d v="2024-08-30T00:00:00"/>
    <x v="7"/>
    <x v="5"/>
    <x v="5"/>
    <x v="1"/>
    <x v="1"/>
    <x v="2"/>
    <n v="41"/>
    <n v="40"/>
    <n v="0.95168346219897926"/>
    <n v="1"/>
    <n v="0.91918651703881771"/>
    <n v="15050"/>
    <n v="0.96200207139653271"/>
  </r>
  <r>
    <s v="REC-0253"/>
    <d v="2024-08-30T00:00:00"/>
    <x v="7"/>
    <x v="4"/>
    <x v="4"/>
    <x v="2"/>
    <x v="2"/>
    <x v="1"/>
    <n v="29"/>
    <n v="31"/>
    <n v="0.995"/>
    <n v="0.99848493128601334"/>
    <n v="0.99475214277146262"/>
    <n v="13290"/>
    <n v="1.0250593751437462"/>
  </r>
  <r>
    <s v="REC-0254"/>
    <d v="2024-09-03T00:00:00"/>
    <x v="8"/>
    <x v="2"/>
    <x v="2"/>
    <x v="1"/>
    <x v="1"/>
    <x v="0"/>
    <n v="34"/>
    <n v="30"/>
    <n v="0.88822942948588246"/>
    <n v="0.93045003379215141"/>
    <n v="0.92808087770379366"/>
    <n v="10620"/>
    <n v="0.90018221445164037"/>
  </r>
  <r>
    <s v="REC-0255"/>
    <d v="2024-09-03T00:00:00"/>
    <x v="8"/>
    <x v="5"/>
    <x v="5"/>
    <x v="1"/>
    <x v="1"/>
    <x v="2"/>
    <n v="50"/>
    <n v="44"/>
    <n v="0.95716582907762171"/>
    <n v="0.97681917987070599"/>
    <n v="0.92161099736121366"/>
    <n v="17570"/>
    <n v="0.92213653372225413"/>
  </r>
  <r>
    <s v="REC-0256"/>
    <d v="2024-09-04T00:00:00"/>
    <x v="8"/>
    <x v="5"/>
    <x v="5"/>
    <x v="1"/>
    <x v="1"/>
    <x v="2"/>
    <n v="44"/>
    <n v="43"/>
    <n v="0.94639079605979637"/>
    <n v="0.97733588815154437"/>
    <n v="0.91786372366549762"/>
    <n v="16770"/>
    <n v="0.95767991787987117"/>
  </r>
  <r>
    <s v="REC-0257"/>
    <d v="2024-09-04T00:00:00"/>
    <x v="8"/>
    <x v="4"/>
    <x v="4"/>
    <x v="2"/>
    <x v="2"/>
    <x v="1"/>
    <n v="42"/>
    <n v="46"/>
    <n v="0.98028425795164087"/>
    <n v="0.9836729631730815"/>
    <n v="0.97673505021168072"/>
    <n v="24980"/>
    <n v="1.0260642571014469"/>
  </r>
  <r>
    <s v="REC-0258"/>
    <d v="2024-09-05T00:00:00"/>
    <x v="8"/>
    <x v="0"/>
    <x v="0"/>
    <x v="0"/>
    <x v="0"/>
    <x v="0"/>
    <n v="50"/>
    <n v="51"/>
    <n v="0.9378529423957781"/>
    <n v="0.94376443417908362"/>
    <n v="0.88666299744759081"/>
    <n v="31860"/>
    <n v="0.96136050021532526"/>
  </r>
  <r>
    <s v="REC-0259"/>
    <d v="2024-09-05T00:00:00"/>
    <x v="8"/>
    <x v="5"/>
    <x v="5"/>
    <x v="1"/>
    <x v="1"/>
    <x v="2"/>
    <n v="36"/>
    <n v="37"/>
    <n v="0.98579881491286558"/>
    <n v="1"/>
    <n v="0.89543380825894037"/>
    <n v="13980"/>
    <n v="0.98664757649111556"/>
  </r>
  <r>
    <s v="REC-0260"/>
    <d v="2024-09-06T00:00:00"/>
    <x v="8"/>
    <x v="0"/>
    <x v="0"/>
    <x v="0"/>
    <x v="0"/>
    <x v="0"/>
    <n v="29"/>
    <n v="28"/>
    <n v="0.94561521463925491"/>
    <n v="0.99445843973489878"/>
    <n v="0.98055276427253746"/>
    <n v="17660"/>
    <n v="0.96789001902628025"/>
  </r>
  <r>
    <s v="REC-0261"/>
    <d v="2024-09-06T00:00:00"/>
    <x v="8"/>
    <x v="1"/>
    <x v="1"/>
    <x v="0"/>
    <x v="0"/>
    <x v="1"/>
    <n v="39"/>
    <n v="37"/>
    <n v="0.94747983049043794"/>
    <n v="0.94528049009049331"/>
    <n v="0.94385260789944336"/>
    <n v="23200"/>
    <n v="0.94691973220325165"/>
  </r>
  <r>
    <s v="REC-0262"/>
    <d v="2024-09-06T00:00:00"/>
    <x v="8"/>
    <x v="1"/>
    <x v="1"/>
    <x v="0"/>
    <x v="0"/>
    <x v="1"/>
    <n v="52"/>
    <n v="46"/>
    <n v="0.95782000796819977"/>
    <n v="0.94402415440401266"/>
    <n v="0.89772108246717375"/>
    <n v="28050"/>
    <n v="0.91444899549224046"/>
  </r>
  <r>
    <s v="REC-0263"/>
    <d v="2024-09-06T00:00:00"/>
    <x v="8"/>
    <x v="2"/>
    <x v="2"/>
    <x v="1"/>
    <x v="1"/>
    <x v="0"/>
    <n v="33"/>
    <n v="33"/>
    <n v="0.91619507758598406"/>
    <n v="0.93968613979262849"/>
    <n v="0.9148104406413371"/>
    <n v="11890"/>
    <n v="0.95296377849365776"/>
  </r>
  <r>
    <s v="REC-0264"/>
    <d v="2024-09-06T00:00:00"/>
    <x v="8"/>
    <x v="3"/>
    <x v="3"/>
    <x v="2"/>
    <x v="2"/>
    <x v="0"/>
    <n v="29"/>
    <n v="26"/>
    <n v="0.91122986299058351"/>
    <n v="0.99744286154636674"/>
    <n v="0.90722713207670846"/>
    <n v="11620"/>
    <n v="0.91749001105011507"/>
  </r>
  <r>
    <s v="REC-0265"/>
    <d v="2024-09-09T00:00:00"/>
    <x v="8"/>
    <x v="5"/>
    <x v="5"/>
    <x v="1"/>
    <x v="1"/>
    <x v="2"/>
    <n v="46"/>
    <n v="42"/>
    <n v="0.9318504180012791"/>
    <n v="0.95917446090332426"/>
    <n v="0.93737204793462781"/>
    <n v="17790"/>
    <n v="0.92953057452709187"/>
  </r>
  <r>
    <s v="REC-0266"/>
    <d v="2024-09-10T00:00:00"/>
    <x v="8"/>
    <x v="2"/>
    <x v="2"/>
    <x v="1"/>
    <x v="1"/>
    <x v="0"/>
    <n v="52"/>
    <n v="49"/>
    <n v="0.88052278011280039"/>
    <n v="0.96596313873721396"/>
    <n v="0.91976183351469198"/>
    <n v="20170"/>
    <n v="0.92590060946479746"/>
  </r>
  <r>
    <s v="REC-0267"/>
    <d v="2024-09-12T00:00:00"/>
    <x v="8"/>
    <x v="1"/>
    <x v="1"/>
    <x v="0"/>
    <x v="0"/>
    <x v="1"/>
    <n v="31"/>
    <n v="26"/>
    <n v="0.9319708147412088"/>
    <n v="0.96178242844296868"/>
    <n v="0.95322333536620141"/>
    <n v="15690"/>
    <n v="0.90338860599272963"/>
  </r>
  <r>
    <s v="REC-0268"/>
    <d v="2024-09-13T00:00:00"/>
    <x v="8"/>
    <x v="4"/>
    <x v="4"/>
    <x v="2"/>
    <x v="2"/>
    <x v="1"/>
    <n v="47"/>
    <n v="50"/>
    <n v="0.94123581710502902"/>
    <n v="1"/>
    <n v="0.96203091568611843"/>
    <n v="23670"/>
    <n v="1.003247052307098"/>
  </r>
  <r>
    <s v="REC-0269"/>
    <d v="2024-09-16T00:00:00"/>
    <x v="8"/>
    <x v="0"/>
    <x v="0"/>
    <x v="0"/>
    <x v="0"/>
    <x v="0"/>
    <n v="29"/>
    <n v="33"/>
    <n v="0.95633320492069418"/>
    <n v="0.97089861799963606"/>
    <n v="0.88286637472399454"/>
    <n v="21160"/>
    <n v="1.0164637826680214"/>
  </r>
  <r>
    <s v="REC-0270"/>
    <d v="2024-09-17T00:00:00"/>
    <x v="8"/>
    <x v="0"/>
    <x v="0"/>
    <x v="0"/>
    <x v="0"/>
    <x v="0"/>
    <n v="29"/>
    <n v="30"/>
    <n v="0.93992996610607649"/>
    <n v="0.98998029004155319"/>
    <n v="0.9148654785887772"/>
    <n v="18280"/>
    <n v="0.98024573419878347"/>
  </r>
  <r>
    <s v="REC-0271"/>
    <d v="2024-09-17T00:00:00"/>
    <x v="8"/>
    <x v="0"/>
    <x v="0"/>
    <x v="0"/>
    <x v="0"/>
    <x v="0"/>
    <n v="43"/>
    <n v="45"/>
    <n v="0.88673461318286384"/>
    <n v="0.99101634902233227"/>
    <n v="0.94832880702367273"/>
    <n v="26040"/>
    <n v="0.97860651821659106"/>
  </r>
  <r>
    <s v="REC-0272"/>
    <d v="2024-09-17T00:00:00"/>
    <x v="8"/>
    <x v="2"/>
    <x v="2"/>
    <x v="1"/>
    <x v="1"/>
    <x v="0"/>
    <n v="53"/>
    <n v="51"/>
    <n v="0.91007078446903877"/>
    <n v="0.92077813508258533"/>
    <n v="0.87575980965972611"/>
    <n v="18280"/>
    <n v="0.92569203868895134"/>
  </r>
  <r>
    <s v="REC-0273"/>
    <d v="2024-09-18T00:00:00"/>
    <x v="8"/>
    <x v="1"/>
    <x v="1"/>
    <x v="0"/>
    <x v="0"/>
    <x v="1"/>
    <n v="33"/>
    <n v="33"/>
    <n v="0.92751206393709684"/>
    <n v="0.95527863762607879"/>
    <n v="0.9297205876331629"/>
    <n v="18120"/>
    <n v="0.96111392915481875"/>
  </r>
  <r>
    <s v="REC-0274"/>
    <d v="2024-09-19T00:00:00"/>
    <x v="8"/>
    <x v="1"/>
    <x v="1"/>
    <x v="0"/>
    <x v="0"/>
    <x v="1"/>
    <n v="53"/>
    <n v="49"/>
    <n v="0.95223844265032143"/>
    <n v="0.94856362990078003"/>
    <n v="0.9420504442241977"/>
    <n v="24180"/>
    <n v="0.93856556474725394"/>
  </r>
  <r>
    <s v="REC-0275"/>
    <d v="2024-09-20T00:00:00"/>
    <x v="8"/>
    <x v="1"/>
    <x v="1"/>
    <x v="0"/>
    <x v="0"/>
    <x v="1"/>
    <n v="34"/>
    <n v="37"/>
    <n v="0.92276876320619672"/>
    <n v="0.98186537158669285"/>
    <n v="0.9514670201387796"/>
    <n v="20610"/>
    <n v="1.0035595182143677"/>
  </r>
  <r>
    <s v="REC-0276"/>
    <d v="2024-09-20T00:00:00"/>
    <x v="8"/>
    <x v="2"/>
    <x v="2"/>
    <x v="1"/>
    <x v="1"/>
    <x v="0"/>
    <n v="33"/>
    <n v="28"/>
    <n v="0.89869076446209839"/>
    <n v="0.97516952942772595"/>
    <n v="0.88261187401376684"/>
    <n v="12300"/>
    <n v="0.88686443472637633"/>
  </r>
  <r>
    <s v="REC-0277"/>
    <d v="2024-09-20T00:00:00"/>
    <x v="8"/>
    <x v="2"/>
    <x v="2"/>
    <x v="1"/>
    <x v="1"/>
    <x v="0"/>
    <n v="39"/>
    <n v="32"/>
    <n v="0.92567450468327706"/>
    <n v="0.9338731238481206"/>
    <n v="0.84899026446851467"/>
    <n v="14110"/>
    <n v="0.86950277584686853"/>
  </r>
  <r>
    <s v="REC-0278"/>
    <d v="2024-09-23T00:00:00"/>
    <x v="8"/>
    <x v="0"/>
    <x v="0"/>
    <x v="0"/>
    <x v="0"/>
    <x v="0"/>
    <n v="54"/>
    <n v="57"/>
    <n v="0.9409990874540205"/>
    <n v="0.95370903906679039"/>
    <n v="0.94674375962684842"/>
    <n v="34980"/>
    <n v="0.98987710187111566"/>
  </r>
  <r>
    <s v="REC-0279"/>
    <d v="2024-09-25T00:00:00"/>
    <x v="8"/>
    <x v="0"/>
    <x v="0"/>
    <x v="0"/>
    <x v="0"/>
    <x v="0"/>
    <n v="47"/>
    <n v="51"/>
    <n v="0.97157152534452262"/>
    <n v="0.9816475237868918"/>
    <n v="0.91468870371807032"/>
    <n v="27490"/>
    <n v="1.0071203038392678"/>
  </r>
  <r>
    <s v="REC-0280"/>
    <d v="2024-09-25T00:00:00"/>
    <x v="8"/>
    <x v="2"/>
    <x v="2"/>
    <x v="1"/>
    <x v="1"/>
    <x v="0"/>
    <n v="49"/>
    <n v="48"/>
    <n v="0.87810899190243175"/>
    <n v="0.93442740892850007"/>
    <n v="0.86208379370363342"/>
    <n v="19670"/>
    <n v="0.92394485274948723"/>
  </r>
  <r>
    <s v="REC-0281"/>
    <d v="2024-09-26T00:00:00"/>
    <x v="8"/>
    <x v="1"/>
    <x v="1"/>
    <x v="0"/>
    <x v="0"/>
    <x v="1"/>
    <n v="46"/>
    <n v="42"/>
    <n v="0.91713234773281227"/>
    <n v="0.9502349697708744"/>
    <n v="0.92882801511375068"/>
    <n v="24200"/>
    <n v="0.92280132672593218"/>
  </r>
  <r>
    <s v="REC-0282"/>
    <d v="2024-09-30T00:00:00"/>
    <x v="8"/>
    <x v="2"/>
    <x v="2"/>
    <x v="1"/>
    <x v="1"/>
    <x v="0"/>
    <n v="53"/>
    <n v="52"/>
    <n v="0.91443957768176809"/>
    <n v="0.89678807718251208"/>
    <n v="0.92718819268335817"/>
    <n v="19020"/>
    <n v="0.94101857472316963"/>
  </r>
  <r>
    <s v="REC-0283"/>
    <d v="2024-09-30T00:00:00"/>
    <x v="8"/>
    <x v="4"/>
    <x v="4"/>
    <x v="2"/>
    <x v="2"/>
    <x v="1"/>
    <n v="54"/>
    <n v="63"/>
    <n v="0.96205128951317409"/>
    <n v="0.99238381891927541"/>
    <n v="0.93967687021783552"/>
    <n v="31820"/>
    <n v="1.0439724359264189"/>
  </r>
  <r>
    <s v="REC-0284"/>
    <d v="2024-10-01T00:00:00"/>
    <x v="9"/>
    <x v="0"/>
    <x v="0"/>
    <x v="0"/>
    <x v="0"/>
    <x v="0"/>
    <n v="51"/>
    <n v="58"/>
    <n v="0.96673004883389546"/>
    <n v="0.97745795602978214"/>
    <n v="0.95493044025006169"/>
    <n v="37610"/>
    <n v="1.0341892544472673"/>
  </r>
  <r>
    <s v="REC-0285"/>
    <d v="2024-10-02T00:00:00"/>
    <x v="9"/>
    <x v="4"/>
    <x v="4"/>
    <x v="2"/>
    <x v="2"/>
    <x v="1"/>
    <n v="41"/>
    <n v="46"/>
    <n v="0.94682569375040593"/>
    <n v="0.98489118259116526"/>
    <n v="0.97156567381835357"/>
    <n v="22140"/>
    <n v="1.0275337233948252"/>
  </r>
  <r>
    <s v="REC-0286"/>
    <d v="2024-10-04T00:00:00"/>
    <x v="9"/>
    <x v="0"/>
    <x v="0"/>
    <x v="0"/>
    <x v="0"/>
    <x v="0"/>
    <n v="45"/>
    <n v="45"/>
    <n v="0.92860739004588855"/>
    <n v="0.95211544087299882"/>
    <n v="0.90614537634626247"/>
    <n v="24100"/>
    <n v="0.95619823891167444"/>
  </r>
  <r>
    <s v="REC-0287"/>
    <d v="2024-10-04T00:00:00"/>
    <x v="9"/>
    <x v="0"/>
    <x v="0"/>
    <x v="0"/>
    <x v="0"/>
    <x v="0"/>
    <n v="50"/>
    <n v="49"/>
    <n v="0.9301838434262435"/>
    <n v="0.97570084771442822"/>
    <n v="0.93104728922893709"/>
    <n v="28440"/>
    <n v="0.95711054585951261"/>
  </r>
  <r>
    <s v="REC-0288"/>
    <d v="2024-10-04T00:00:00"/>
    <x v="9"/>
    <x v="1"/>
    <x v="1"/>
    <x v="0"/>
    <x v="0"/>
    <x v="1"/>
    <n v="54"/>
    <n v="46"/>
    <n v="0.95350068089455897"/>
    <n v="0.96803152018648331"/>
    <n v="0.91284214244822537"/>
    <n v="27600"/>
    <n v="0.90688906748199805"/>
  </r>
  <r>
    <s v="REC-0289"/>
    <d v="2024-10-04T00:00:00"/>
    <x v="9"/>
    <x v="5"/>
    <x v="5"/>
    <x v="1"/>
    <x v="1"/>
    <x v="2"/>
    <n v="44"/>
    <n v="49"/>
    <n v="0.96683933890790752"/>
    <n v="0.97361097228328519"/>
    <n v="0.9149909949528815"/>
    <n v="20470"/>
    <n v="1.0162042250145915"/>
  </r>
  <r>
    <s v="REC-0290"/>
    <d v="2024-10-04T00:00:00"/>
    <x v="9"/>
    <x v="3"/>
    <x v="3"/>
    <x v="2"/>
    <x v="2"/>
    <x v="0"/>
    <n v="54"/>
    <n v="55"/>
    <n v="0.97901452604447037"/>
    <n v="1"/>
    <n v="0.91573109410723241"/>
    <n v="24170"/>
    <n v="0.98530725773997152"/>
  </r>
  <r>
    <s v="REC-0291"/>
    <d v="2024-10-09T00:00:00"/>
    <x v="9"/>
    <x v="5"/>
    <x v="5"/>
    <x v="1"/>
    <x v="1"/>
    <x v="2"/>
    <n v="41"/>
    <n v="39"/>
    <n v="0.99301181237669223"/>
    <n v="0.95219795706545152"/>
    <n v="0.96969102529003726"/>
    <n v="17510"/>
    <n v="0.96550865659004703"/>
  </r>
  <r>
    <s v="REC-0292"/>
    <d v="2024-10-10T00:00:00"/>
    <x v="9"/>
    <x v="1"/>
    <x v="1"/>
    <x v="0"/>
    <x v="0"/>
    <x v="1"/>
    <n v="55"/>
    <n v="49"/>
    <n v="0.88918261266081733"/>
    <n v="0.96680324569805642"/>
    <n v="0.96124205740109525"/>
    <n v="25760"/>
    <n v="0.91592818786376828"/>
  </r>
  <r>
    <s v="REC-0293"/>
    <d v="2024-10-11T00:00:00"/>
    <x v="9"/>
    <x v="5"/>
    <x v="5"/>
    <x v="1"/>
    <x v="1"/>
    <x v="2"/>
    <n v="39"/>
    <n v="37"/>
    <n v="0.93185033835018383"/>
    <n v="1"/>
    <n v="0.91604508766740522"/>
    <n v="17400"/>
    <n v="0.94565878160820649"/>
  </r>
  <r>
    <s v="REC-0294"/>
    <d v="2024-10-14T00:00:00"/>
    <x v="9"/>
    <x v="2"/>
    <x v="2"/>
    <x v="1"/>
    <x v="1"/>
    <x v="0"/>
    <n v="36"/>
    <n v="33"/>
    <n v="0.8981806549523883"/>
    <n v="0.95852269693274195"/>
    <n v="0.90078722048882798"/>
    <n v="13490"/>
    <n v="0.91514767904244065"/>
  </r>
  <r>
    <s v="REC-0295"/>
    <d v="2024-10-15T00:00:00"/>
    <x v="9"/>
    <x v="2"/>
    <x v="2"/>
    <x v="1"/>
    <x v="1"/>
    <x v="0"/>
    <n v="52"/>
    <n v="51"/>
    <n v="0.89058839366073428"/>
    <n v="0.95197183529222518"/>
    <n v="0.88392603895754074"/>
    <n v="18470"/>
    <n v="0.93453577380821784"/>
  </r>
  <r>
    <s v="REC-0296"/>
    <d v="2024-10-16T00:00:00"/>
    <x v="9"/>
    <x v="3"/>
    <x v="3"/>
    <x v="2"/>
    <x v="2"/>
    <x v="0"/>
    <n v="52"/>
    <n v="51"/>
    <n v="0.91306103805210026"/>
    <n v="0.95784852290960487"/>
    <n v="0.93888166245372062"/>
    <n v="21640"/>
    <n v="0.95202656274790221"/>
  </r>
  <r>
    <s v="REC-0297"/>
    <d v="2024-10-17T00:00:00"/>
    <x v="9"/>
    <x v="1"/>
    <x v="1"/>
    <x v="0"/>
    <x v="0"/>
    <x v="1"/>
    <n v="42"/>
    <n v="39"/>
    <n v="0.91202485545785517"/>
    <n v="0.96228811053648555"/>
    <n v="0.94447878064163437"/>
    <n v="22520"/>
    <n v="0.93267375800183494"/>
  </r>
  <r>
    <s v="REC-0298"/>
    <d v="2024-10-18T00:00:00"/>
    <x v="9"/>
    <x v="0"/>
    <x v="0"/>
    <x v="0"/>
    <x v="0"/>
    <x v="0"/>
    <n v="55"/>
    <n v="56"/>
    <n v="0.94337347647177527"/>
    <n v="0.98382690229565717"/>
    <n v="0.94639701238536267"/>
    <n v="28420"/>
    <n v="0.9799695342120921"/>
  </r>
  <r>
    <s v="REC-0299"/>
    <d v="2024-10-18T00:00:00"/>
    <x v="9"/>
    <x v="0"/>
    <x v="0"/>
    <x v="0"/>
    <x v="0"/>
    <x v="0"/>
    <n v="33"/>
    <n v="38"/>
    <n v="0.93348496526940938"/>
    <n v="0.96062911336768297"/>
    <n v="0.89254552185023384"/>
    <n v="19840"/>
    <n v="1.0165807732986123"/>
  </r>
  <r>
    <s v="REC-0300"/>
    <d v="2024-10-18T00:00:00"/>
    <x v="9"/>
    <x v="1"/>
    <x v="1"/>
    <x v="0"/>
    <x v="0"/>
    <x v="1"/>
    <n v="43"/>
    <n v="44"/>
    <n v="0.93619890193131783"/>
    <n v="0.9686431533817772"/>
    <n v="0.93249214426852522"/>
    <n v="22030"/>
    <n v="0.97514695292519649"/>
  </r>
  <r>
    <s v="REC-0301"/>
    <d v="2024-10-18T00:00:00"/>
    <x v="9"/>
    <x v="2"/>
    <x v="2"/>
    <x v="1"/>
    <x v="1"/>
    <x v="0"/>
    <n v="30"/>
    <n v="27"/>
    <n v="0.88160872660668788"/>
    <n v="0.95841690385409506"/>
    <n v="0.88145528034525877"/>
    <n v="10570"/>
    <n v="0.90045577329883808"/>
  </r>
  <r>
    <s v="REC-0302"/>
    <d v="2024-10-18T00:00:00"/>
    <x v="9"/>
    <x v="2"/>
    <x v="2"/>
    <x v="1"/>
    <x v="1"/>
    <x v="0"/>
    <n v="28"/>
    <n v="24"/>
    <n v="0.91124432697149982"/>
    <n v="0.90812777786870624"/>
    <n v="0.85934881939853258"/>
    <n v="10500"/>
    <n v="0.87875715516003028"/>
  </r>
  <r>
    <s v="REC-0303"/>
    <d v="2024-10-18T00:00:00"/>
    <x v="9"/>
    <x v="5"/>
    <x v="5"/>
    <x v="1"/>
    <x v="1"/>
    <x v="2"/>
    <n v="51"/>
    <n v="55"/>
    <n v="0.90281092519938955"/>
    <n v="0.95325001611375693"/>
    <n v="0.9766405777560605"/>
    <n v="21710"/>
    <n v="0.99539089828773086"/>
  </r>
  <r>
    <s v="REC-0304"/>
    <d v="2024-10-21T00:00:00"/>
    <x v="9"/>
    <x v="2"/>
    <x v="2"/>
    <x v="1"/>
    <x v="1"/>
    <x v="0"/>
    <n v="47"/>
    <n v="42"/>
    <n v="0.91231456658658083"/>
    <n v="0.93957444069185969"/>
    <n v="0.8892711265545864"/>
    <n v="16700"/>
    <n v="0.90431584157197975"/>
  </r>
  <r>
    <s v="REC-0305"/>
    <d v="2024-10-21T00:00:00"/>
    <x v="9"/>
    <x v="3"/>
    <x v="3"/>
    <x v="2"/>
    <x v="2"/>
    <x v="0"/>
    <n v="30"/>
    <n v="25"/>
    <n v="0.95616157611529096"/>
    <n v="0.94749307472406874"/>
    <n v="0.96875924241882339"/>
    <n v="10600"/>
    <n v="0.90824953705453104"/>
  </r>
  <r>
    <s v="REC-0306"/>
    <d v="2024-10-22T00:00:00"/>
    <x v="9"/>
    <x v="1"/>
    <x v="1"/>
    <x v="0"/>
    <x v="0"/>
    <x v="1"/>
    <n v="32"/>
    <n v="32"/>
    <n v="0.96583810315905727"/>
    <n v="0.93362413643428643"/>
    <n v="0.9131221787807845"/>
    <n v="19960"/>
    <n v="0.9641275820110643"/>
  </r>
  <r>
    <s v="REC-0307"/>
    <d v="2024-10-22T00:00:00"/>
    <x v="9"/>
    <x v="2"/>
    <x v="2"/>
    <x v="1"/>
    <x v="1"/>
    <x v="0"/>
    <n v="49"/>
    <n v="51"/>
    <n v="0.88604693351263808"/>
    <n v="0.93114714091784034"/>
    <n v="0.88079252026607235"/>
    <n v="19310"/>
    <n v="0.95366883918129508"/>
  </r>
  <r>
    <s v="REC-0308"/>
    <d v="2024-10-25T00:00:00"/>
    <x v="9"/>
    <x v="5"/>
    <x v="5"/>
    <x v="1"/>
    <x v="1"/>
    <x v="2"/>
    <n v="38"/>
    <n v="40"/>
    <n v="0.96492403278722527"/>
    <n v="0.97446737544590767"/>
    <n v="0.94814226458096118"/>
    <n v="17890"/>
    <n v="0.99808219900883199"/>
  </r>
  <r>
    <s v="REC-0309"/>
    <d v="2024-10-25T00:00:00"/>
    <x v="9"/>
    <x v="3"/>
    <x v="3"/>
    <x v="2"/>
    <x v="2"/>
    <x v="0"/>
    <n v="34"/>
    <n v="33"/>
    <n v="0.93606366276128627"/>
    <n v="1"/>
    <n v="0.95635603681073633"/>
    <n v="15320"/>
    <n v="0.963522417170116"/>
  </r>
  <r>
    <s v="REC-0310"/>
    <d v="2024-10-28T00:00:00"/>
    <x v="9"/>
    <x v="2"/>
    <x v="2"/>
    <x v="1"/>
    <x v="1"/>
    <x v="0"/>
    <n v="42"/>
    <n v="35"/>
    <n v="0.90062212181211398"/>
    <n v="0.9523734685682731"/>
    <n v="0.877175008984729"/>
    <n v="14540"/>
    <n v="0.8767798858685486"/>
  </r>
  <r>
    <s v="REC-0311"/>
    <d v="2024-10-28T00:00:00"/>
    <x v="9"/>
    <x v="2"/>
    <x v="2"/>
    <x v="1"/>
    <x v="1"/>
    <x v="0"/>
    <n v="42"/>
    <n v="40"/>
    <n v="0.93555424578803259"/>
    <n v="0.95429019051360275"/>
    <n v="0.90539277555528419"/>
    <n v="16090"/>
    <n v="0.93906302608748626"/>
  </r>
  <r>
    <s v="REC-0312"/>
    <d v="2024-10-29T00:00:00"/>
    <x v="9"/>
    <x v="3"/>
    <x v="3"/>
    <x v="2"/>
    <x v="2"/>
    <x v="0"/>
    <n v="28"/>
    <n v="29"/>
    <n v="0.92649149030580702"/>
    <n v="0.95643715330549595"/>
    <n v="0.97447040178880551"/>
    <n v="14060"/>
    <n v="0.98426824021575166"/>
  </r>
  <r>
    <s v="REC-0313"/>
    <d v="2024-10-29T00:00:00"/>
    <x v="9"/>
    <x v="3"/>
    <x v="3"/>
    <x v="2"/>
    <x v="2"/>
    <x v="0"/>
    <n v="46"/>
    <n v="42"/>
    <n v="0.91698570705016647"/>
    <n v="0.94030759453052537"/>
    <n v="0.91526365585694325"/>
    <n v="18890"/>
    <n v="0.91856268841785693"/>
  </r>
  <r>
    <s v="REC-0314"/>
    <d v="2024-10-29T00:00:00"/>
    <x v="9"/>
    <x v="4"/>
    <x v="4"/>
    <x v="2"/>
    <x v="2"/>
    <x v="1"/>
    <n v="43"/>
    <n v="52"/>
    <n v="0.92137104150730809"/>
    <n v="0.98150701026873732"/>
    <n v="0.88357041034835837"/>
    <n v="26180"/>
    <n v="1.0342828939868094"/>
  </r>
  <r>
    <s v="REC-0315"/>
    <d v="2024-10-30T00:00:00"/>
    <x v="9"/>
    <x v="0"/>
    <x v="0"/>
    <x v="0"/>
    <x v="0"/>
    <x v="0"/>
    <n v="34"/>
    <n v="38"/>
    <n v="0.93513173012238693"/>
    <n v="0.94115948632899449"/>
    <n v="0.91825419527917274"/>
    <n v="19290"/>
    <n v="1.0056665180651922"/>
  </r>
  <r>
    <s v="REC-0316"/>
    <d v="2024-10-31T00:00:00"/>
    <x v="9"/>
    <x v="2"/>
    <x v="2"/>
    <x v="1"/>
    <x v="1"/>
    <x v="0"/>
    <n v="55"/>
    <n v="46"/>
    <n v="0.88759230067467676"/>
    <n v="0.94423617809226468"/>
    <n v="0.88602219879130484"/>
    <n v="20570"/>
    <n v="0.87528339618622431"/>
  </r>
  <r>
    <s v="REC-0317"/>
    <d v="2024-10-31T00:00:00"/>
    <x v="9"/>
    <x v="3"/>
    <x v="3"/>
    <x v="2"/>
    <x v="2"/>
    <x v="0"/>
    <n v="47"/>
    <n v="40"/>
    <n v="0.91152414874551246"/>
    <n v="0.95486135139138095"/>
    <n v="0.95838424681132817"/>
    <n v="16560"/>
    <n v="0.90321262117224443"/>
  </r>
  <r>
    <s v="REC-0318"/>
    <d v="2024-11-01T00:00:00"/>
    <x v="10"/>
    <x v="1"/>
    <x v="1"/>
    <x v="0"/>
    <x v="0"/>
    <x v="1"/>
    <n v="46"/>
    <n v="38"/>
    <n v="0.88701103636349643"/>
    <n v="0.94991000725670194"/>
    <n v="0.97557642051728632"/>
    <n v="21750"/>
    <n v="0.88978932689153234"/>
  </r>
  <r>
    <s v="REC-0319"/>
    <d v="2024-11-01T00:00:00"/>
    <x v="10"/>
    <x v="2"/>
    <x v="2"/>
    <x v="1"/>
    <x v="1"/>
    <x v="0"/>
    <n v="54"/>
    <n v="47"/>
    <n v="0.85421642173186463"/>
    <n v="0.9400000128126641"/>
    <n v="0.82858515725483606"/>
    <n v="19310"/>
    <n v="0.86841928695398107"/>
  </r>
  <r>
    <s v="REC-0320"/>
    <d v="2024-11-01T00:00:00"/>
    <x v="10"/>
    <x v="3"/>
    <x v="3"/>
    <x v="2"/>
    <x v="2"/>
    <x v="0"/>
    <n v="49"/>
    <n v="53"/>
    <n v="0.8892986664187803"/>
    <n v="0.97746089379290224"/>
    <n v="0.91108459520005625"/>
    <n v="27340"/>
    <n v="0.98381378093813154"/>
  </r>
  <r>
    <s v="REC-0321"/>
    <d v="2024-11-01T00:00:00"/>
    <x v="10"/>
    <x v="4"/>
    <x v="4"/>
    <x v="2"/>
    <x v="2"/>
    <x v="1"/>
    <n v="42"/>
    <n v="42"/>
    <n v="0.995"/>
    <n v="0.99789598059015938"/>
    <n v="0.98315974401449058"/>
    <n v="23130"/>
    <n v="0.99506634589142207"/>
  </r>
  <r>
    <s v="REC-0322"/>
    <d v="2024-11-04T00:00:00"/>
    <x v="10"/>
    <x v="4"/>
    <x v="4"/>
    <x v="2"/>
    <x v="2"/>
    <x v="1"/>
    <n v="42"/>
    <n v="44"/>
    <n v="0.95665352196921294"/>
    <n v="1"/>
    <n v="0.96953520119318759"/>
    <n v="20880"/>
    <n v="1.0021180397785598"/>
  </r>
  <r>
    <s v="REC-0323"/>
    <d v="2024-11-05T00:00:00"/>
    <x v="10"/>
    <x v="3"/>
    <x v="3"/>
    <x v="2"/>
    <x v="2"/>
    <x v="0"/>
    <n v="33"/>
    <n v="35"/>
    <n v="0.89529526971688211"/>
    <n v="0.97417481543456408"/>
    <n v="0.9541278681195029"/>
    <n v="14320"/>
    <n v="0.98501803761072992"/>
  </r>
  <r>
    <s v="REC-0324"/>
    <d v="2024-11-05T00:00:00"/>
    <x v="10"/>
    <x v="4"/>
    <x v="4"/>
    <x v="2"/>
    <x v="2"/>
    <x v="1"/>
    <n v="34"/>
    <n v="34"/>
    <n v="0.9591522932861869"/>
    <n v="0.97650333884302432"/>
    <n v="0.97529694239414055"/>
    <n v="15160"/>
    <n v="0.9813229626268285"/>
  </r>
  <r>
    <s v="REC-0325"/>
    <d v="2024-11-06T00:00:00"/>
    <x v="10"/>
    <x v="3"/>
    <x v="3"/>
    <x v="2"/>
    <x v="2"/>
    <x v="0"/>
    <n v="47"/>
    <n v="40"/>
    <n v="0.92542407226393442"/>
    <n v="0.98099023195971902"/>
    <n v="0.995"/>
    <n v="16770"/>
    <n v="0.91793008477483506"/>
  </r>
  <r>
    <s v="REC-0326"/>
    <d v="2024-11-07T00:00:00"/>
    <x v="10"/>
    <x v="0"/>
    <x v="0"/>
    <x v="0"/>
    <x v="0"/>
    <x v="0"/>
    <n v="43"/>
    <n v="41"/>
    <n v="0.9314458126171351"/>
    <n v="0.97124204249623347"/>
    <n v="0.9303172012889408"/>
    <n v="22090"/>
    <n v="0.94600654862371636"/>
  </r>
  <r>
    <s v="REC-0327"/>
    <d v="2024-11-11T00:00:00"/>
    <x v="10"/>
    <x v="3"/>
    <x v="3"/>
    <x v="2"/>
    <x v="2"/>
    <x v="0"/>
    <n v="51"/>
    <n v="51"/>
    <n v="0.93423120865892373"/>
    <n v="0.97261763088282771"/>
    <n v="0.94035863788040253"/>
    <n v="20900"/>
    <n v="0.96752217437323562"/>
  </r>
  <r>
    <s v="REC-0328"/>
    <d v="2024-11-12T00:00:00"/>
    <x v="10"/>
    <x v="3"/>
    <x v="3"/>
    <x v="2"/>
    <x v="2"/>
    <x v="0"/>
    <n v="51"/>
    <n v="49"/>
    <n v="0.90462859657610595"/>
    <n v="0.95369294279326644"/>
    <n v="0.93036509571500847"/>
    <n v="20360"/>
    <n v="0.9395978351962142"/>
  </r>
  <r>
    <s v="REC-0329"/>
    <d v="2024-11-12T00:00:00"/>
    <x v="10"/>
    <x v="4"/>
    <x v="4"/>
    <x v="2"/>
    <x v="2"/>
    <x v="1"/>
    <n v="33"/>
    <n v="34"/>
    <n v="0.96227686116320055"/>
    <n v="0.98137835739006662"/>
    <n v="0.98886152940917416"/>
    <n v="16590"/>
    <n v="0.99766948690235702"/>
  </r>
  <r>
    <s v="REC-0330"/>
    <d v="2024-11-15T00:00:00"/>
    <x v="10"/>
    <x v="2"/>
    <x v="2"/>
    <x v="1"/>
    <x v="1"/>
    <x v="0"/>
    <n v="49"/>
    <n v="48"/>
    <n v="0.86908897214010628"/>
    <n v="0.94518513554281591"/>
    <n v="0.91207574508770828"/>
    <n v="18620"/>
    <n v="0.93330189707786815"/>
  </r>
  <r>
    <s v="REC-0331"/>
    <d v="2024-11-15T00:00:00"/>
    <x v="10"/>
    <x v="2"/>
    <x v="2"/>
    <x v="1"/>
    <x v="1"/>
    <x v="0"/>
    <n v="51"/>
    <n v="42"/>
    <n v="0.95480486155418831"/>
    <n v="0.91930159768993724"/>
    <n v="0.85818575463352331"/>
    <n v="15320"/>
    <n v="0.87764537067462478"/>
  </r>
  <r>
    <s v="REC-0332"/>
    <d v="2024-11-15T00:00:00"/>
    <x v="10"/>
    <x v="5"/>
    <x v="5"/>
    <x v="1"/>
    <x v="1"/>
    <x v="2"/>
    <n v="47"/>
    <n v="50"/>
    <n v="0.95910650000568376"/>
    <n v="0.98361004260598683"/>
    <n v="0.89011319552940726"/>
    <n v="21190"/>
    <n v="0.9908726853918175"/>
  </r>
  <r>
    <s v="REC-0333"/>
    <d v="2024-11-15T00:00:00"/>
    <x v="10"/>
    <x v="4"/>
    <x v="4"/>
    <x v="2"/>
    <x v="2"/>
    <x v="1"/>
    <n v="39"/>
    <n v="42"/>
    <n v="0.99365120731403078"/>
    <n v="0.99221725914285641"/>
    <n v="0.995"/>
    <n v="22760"/>
    <n v="1.0270146214691669"/>
  </r>
  <r>
    <s v="REC-0334"/>
    <d v="2024-11-20T00:00:00"/>
    <x v="10"/>
    <x v="1"/>
    <x v="1"/>
    <x v="0"/>
    <x v="0"/>
    <x v="1"/>
    <n v="48"/>
    <n v="45"/>
    <n v="0.88027815452855385"/>
    <n v="0.96338463422300935"/>
    <n v="0.94475328139837633"/>
    <n v="21960"/>
    <n v="0.92852789004526515"/>
  </r>
  <r>
    <s v="REC-0335"/>
    <d v="2024-11-21T00:00:00"/>
    <x v="10"/>
    <x v="4"/>
    <x v="4"/>
    <x v="2"/>
    <x v="2"/>
    <x v="1"/>
    <n v="50"/>
    <n v="50"/>
    <n v="0.97813212002786276"/>
    <n v="0.95452918989875113"/>
    <n v="0.95886913893584902"/>
    <n v="24100"/>
    <n v="0.97948623627894815"/>
  </r>
  <r>
    <s v="REC-0336"/>
    <d v="2024-11-22T00:00:00"/>
    <x v="10"/>
    <x v="1"/>
    <x v="1"/>
    <x v="0"/>
    <x v="0"/>
    <x v="1"/>
    <n v="49"/>
    <n v="46"/>
    <n v="0.92917302145256886"/>
    <n v="0.92339983067021136"/>
    <n v="0.93510276899541278"/>
    <n v="27890"/>
    <n v="0.93333398784438926"/>
  </r>
  <r>
    <s v="REC-0337"/>
    <d v="2024-11-22T00:00:00"/>
    <x v="10"/>
    <x v="1"/>
    <x v="1"/>
    <x v="0"/>
    <x v="0"/>
    <x v="1"/>
    <n v="51"/>
    <n v="58"/>
    <n v="0.9470014738992123"/>
    <n v="0.96491028030972892"/>
    <n v="0.9341019850806076"/>
    <n v="33790"/>
    <n v="1.0232092683216978"/>
  </r>
  <r>
    <s v="REC-0338"/>
    <d v="2024-11-22T00:00:00"/>
    <x v="10"/>
    <x v="3"/>
    <x v="3"/>
    <x v="2"/>
    <x v="2"/>
    <x v="0"/>
    <n v="45"/>
    <n v="44"/>
    <n v="0.93860772447114404"/>
    <n v="0.9523095471862999"/>
    <n v="0.95042595411553688"/>
    <n v="18800"/>
    <n v="0.9586946651299495"/>
  </r>
  <r>
    <s v="REC-0339"/>
    <d v="2024-11-25T00:00:00"/>
    <x v="10"/>
    <x v="2"/>
    <x v="2"/>
    <x v="1"/>
    <x v="1"/>
    <x v="0"/>
    <n v="52"/>
    <n v="47"/>
    <n v="0.92910249265302214"/>
    <n v="0.94081346263241961"/>
    <n v="0.87135066177107889"/>
    <n v="18120"/>
    <n v="0.90920623645079579"/>
  </r>
  <r>
    <s v="REC-0340"/>
    <d v="2024-11-27T00:00:00"/>
    <x v="10"/>
    <x v="0"/>
    <x v="0"/>
    <x v="0"/>
    <x v="0"/>
    <x v="0"/>
    <n v="50"/>
    <n v="48"/>
    <n v="0.910020467280092"/>
    <n v="0.98505500430050219"/>
    <n v="0.96763990255940113"/>
    <n v="24540"/>
    <n v="0.95279134797697851"/>
  </r>
  <r>
    <s v="REC-0341"/>
    <d v="2024-11-27T00:00:00"/>
    <x v="10"/>
    <x v="5"/>
    <x v="5"/>
    <x v="1"/>
    <x v="1"/>
    <x v="2"/>
    <n v="31"/>
    <n v="33"/>
    <n v="0.94696270727814835"/>
    <n v="0.92662975308843987"/>
    <n v="0.91263739163894675"/>
    <n v="14500"/>
    <n v="0.98406906972349562"/>
  </r>
  <r>
    <s v="REC-0342"/>
    <d v="2024-11-27T00:00:00"/>
    <x v="10"/>
    <x v="3"/>
    <x v="3"/>
    <x v="2"/>
    <x v="2"/>
    <x v="0"/>
    <n v="51"/>
    <n v="40"/>
    <n v="0.94161995785692132"/>
    <n v="0.93092052140847004"/>
    <n v="0.90885824230571921"/>
    <n v="16840"/>
    <n v="0.870540206332723"/>
  </r>
  <r>
    <s v="REC-0343"/>
    <d v="2024-11-28T00:00:00"/>
    <x v="10"/>
    <x v="1"/>
    <x v="1"/>
    <x v="0"/>
    <x v="0"/>
    <x v="1"/>
    <n v="55"/>
    <n v="48"/>
    <n v="0.95236797407740459"/>
    <n v="0.93375201644527306"/>
    <n v="0.968349661259576"/>
    <n v="27450"/>
    <n v="0.92091563732896642"/>
  </r>
  <r>
    <s v="REC-0344"/>
    <d v="2024-11-28T00:00:00"/>
    <x v="10"/>
    <x v="2"/>
    <x v="2"/>
    <x v="1"/>
    <x v="1"/>
    <x v="0"/>
    <n v="53"/>
    <n v="44"/>
    <n v="0.90487566489802385"/>
    <n v="0.97258498138096894"/>
    <n v="0.86506776950296504"/>
    <n v="19060"/>
    <n v="0.87719568903035761"/>
  </r>
  <r>
    <s v="REC-0345"/>
    <d v="2024-11-29T00:00:00"/>
    <x v="10"/>
    <x v="4"/>
    <x v="4"/>
    <x v="2"/>
    <x v="2"/>
    <x v="1"/>
    <n v="32"/>
    <n v="35"/>
    <n v="0.97195142946400381"/>
    <n v="0.96667767380219172"/>
    <n v="0.995"/>
    <n v="17770"/>
    <n v="1.0244895084363297"/>
  </r>
  <r>
    <s v="REC-0346"/>
    <d v="2024-11-29T00:00:00"/>
    <x v="10"/>
    <x v="4"/>
    <x v="4"/>
    <x v="2"/>
    <x v="2"/>
    <x v="1"/>
    <n v="45"/>
    <n v="44"/>
    <n v="0.9259355480577196"/>
    <n v="0.96216618992592318"/>
    <n v="0.96441713466266965"/>
    <n v="20730"/>
    <n v="0.95980335354696333"/>
  </r>
  <r>
    <s v="REC-0347"/>
    <d v="2024-12-04T00:00:00"/>
    <x v="11"/>
    <x v="1"/>
    <x v="1"/>
    <x v="0"/>
    <x v="0"/>
    <x v="1"/>
    <n v="35"/>
    <n v="38"/>
    <n v="0.9223787202646494"/>
    <n v="0.98849717615667776"/>
    <n v="0.92168231511740351"/>
    <n v="22000"/>
    <n v="0.99749143379885896"/>
  </r>
  <r>
    <s v="REC-0348"/>
    <d v="2024-12-04T00:00:00"/>
    <x v="11"/>
    <x v="5"/>
    <x v="5"/>
    <x v="1"/>
    <x v="1"/>
    <x v="2"/>
    <n v="30"/>
    <n v="29"/>
    <n v="0.94994267633444773"/>
    <n v="0.95768616594612366"/>
    <n v="0.92307598965706061"/>
    <n v="12960"/>
    <n v="0.95242045857360935"/>
  </r>
  <r>
    <s v="REC-0349"/>
    <d v="2024-12-04T00:00:00"/>
    <x v="11"/>
    <x v="5"/>
    <x v="5"/>
    <x v="1"/>
    <x v="1"/>
    <x v="2"/>
    <n v="33"/>
    <n v="33"/>
    <n v="0.91584995351285914"/>
    <n v="0.97940570084619549"/>
    <n v="0.9155406215190377"/>
    <n v="13270"/>
    <n v="0.95898146780895166"/>
  </r>
  <r>
    <s v="REC-0350"/>
    <d v="2024-12-04T00:00:00"/>
    <x v="11"/>
    <x v="3"/>
    <x v="3"/>
    <x v="2"/>
    <x v="2"/>
    <x v="0"/>
    <n v="42"/>
    <n v="40"/>
    <n v="0.91769997688310889"/>
    <n v="0.96903699293651691"/>
    <n v="0.95960088342049465"/>
    <n v="16250"/>
    <n v="0.94765310079773468"/>
  </r>
  <r>
    <s v="REC-0351"/>
    <d v="2024-12-05T00:00:00"/>
    <x v="11"/>
    <x v="3"/>
    <x v="3"/>
    <x v="2"/>
    <x v="2"/>
    <x v="0"/>
    <n v="55"/>
    <n v="59"/>
    <n v="0.96020832133356804"/>
    <n v="0.99203186065638105"/>
    <n v="0.97477595825251484"/>
    <n v="23830"/>
    <n v="1.0129029601732613"/>
  </r>
  <r>
    <s v="REC-0352"/>
    <d v="2024-12-05T00:00:00"/>
    <x v="11"/>
    <x v="3"/>
    <x v="3"/>
    <x v="2"/>
    <x v="2"/>
    <x v="0"/>
    <n v="29"/>
    <n v="28"/>
    <n v="0.93610654163203944"/>
    <n v="0.96630882324633338"/>
    <n v="0.90681713749243542"/>
    <n v="13200"/>
    <n v="0.9465432829451712"/>
  </r>
  <r>
    <s v="REC-0353"/>
    <d v="2024-12-05T00:00:00"/>
    <x v="11"/>
    <x v="4"/>
    <x v="4"/>
    <x v="2"/>
    <x v="2"/>
    <x v="1"/>
    <n v="39"/>
    <n v="41"/>
    <n v="0.98255915410787364"/>
    <n v="0.99205647659886464"/>
    <n v="0.94550362428372003"/>
    <n v="21850"/>
    <n v="1.0040618053863626"/>
  </r>
  <r>
    <s v="REC-0354"/>
    <d v="2024-12-06T00:00:00"/>
    <x v="11"/>
    <x v="0"/>
    <x v="0"/>
    <x v="0"/>
    <x v="0"/>
    <x v="0"/>
    <n v="37"/>
    <n v="39"/>
    <n v="0.94057467811478512"/>
    <n v="1"/>
    <n v="0.90343108585714282"/>
    <n v="20170"/>
    <n v="0.98745150832174655"/>
  </r>
  <r>
    <s v="REC-0355"/>
    <d v="2024-12-06T00:00:00"/>
    <x v="11"/>
    <x v="2"/>
    <x v="2"/>
    <x v="1"/>
    <x v="1"/>
    <x v="0"/>
    <n v="29"/>
    <n v="27"/>
    <n v="0.94745133757095878"/>
    <n v="0.95298687399068005"/>
    <n v="0.89920826598385795"/>
    <n v="12220"/>
    <n v="0.93206631179156163"/>
  </r>
  <r>
    <s v="REC-0356"/>
    <d v="2024-12-06T00:00:00"/>
    <x v="11"/>
    <x v="5"/>
    <x v="5"/>
    <x v="1"/>
    <x v="1"/>
    <x v="2"/>
    <n v="38"/>
    <n v="36"/>
    <n v="0.97145555770198821"/>
    <n v="1"/>
    <n v="0.90735149927092562"/>
    <n v="13990"/>
    <n v="0.95328155770073486"/>
  </r>
  <r>
    <s v="REC-0357"/>
    <d v="2024-12-09T00:00:00"/>
    <x v="11"/>
    <x v="3"/>
    <x v="3"/>
    <x v="2"/>
    <x v="2"/>
    <x v="0"/>
    <n v="48"/>
    <n v="49"/>
    <n v="0.94422663057855338"/>
    <n v="0.95943921200589077"/>
    <n v="0.91688815706489979"/>
    <n v="24420"/>
    <n v="0.97168350419183525"/>
  </r>
  <r>
    <s v="REC-0358"/>
    <d v="2024-12-12T00:00:00"/>
    <x v="11"/>
    <x v="5"/>
    <x v="5"/>
    <x v="1"/>
    <x v="1"/>
    <x v="2"/>
    <n v="47"/>
    <n v="55"/>
    <n v="0.94689288692186691"/>
    <n v="0.9746072070816505"/>
    <n v="0.89247685914114261"/>
    <n v="24150"/>
    <n v="1.0294947810039214"/>
  </r>
  <r>
    <s v="REC-0359"/>
    <d v="2024-12-13T00:00:00"/>
    <x v="11"/>
    <x v="0"/>
    <x v="0"/>
    <x v="0"/>
    <x v="0"/>
    <x v="0"/>
    <n v="39"/>
    <n v="47"/>
    <n v="0.94371955070741598"/>
    <n v="0.95334180403209889"/>
    <n v="0.91893988683642658"/>
    <n v="24490"/>
    <n v="1.042719135648954"/>
  </r>
  <r>
    <s v="REC-0360"/>
    <d v="2024-12-13T00:00:00"/>
    <x v="11"/>
    <x v="5"/>
    <x v="5"/>
    <x v="1"/>
    <x v="1"/>
    <x v="2"/>
    <n v="29"/>
    <n v="28"/>
    <n v="0.98581454380612676"/>
    <n v="0.96970978529425012"/>
    <n v="0.9304179882693131"/>
    <n v="12350"/>
    <n v="0.96420059795125601"/>
  </r>
  <r>
    <s v="REC-0361"/>
    <d v="2024-12-16T00:00:00"/>
    <x v="11"/>
    <x v="2"/>
    <x v="2"/>
    <x v="1"/>
    <x v="1"/>
    <x v="0"/>
    <n v="33"/>
    <n v="32"/>
    <n v="0.89221182868467397"/>
    <n v="0.98825292848448021"/>
    <n v="0.91923736033254888"/>
    <n v="14380"/>
    <n v="0.94301715638913819"/>
  </r>
  <r>
    <s v="REC-0362"/>
    <d v="2024-12-17T00:00:00"/>
    <x v="11"/>
    <x v="1"/>
    <x v="1"/>
    <x v="0"/>
    <x v="0"/>
    <x v="1"/>
    <n v="37"/>
    <n v="35"/>
    <n v="0.92570915898854778"/>
    <n v="0.93616144200404305"/>
    <n v="0.97183664050341334"/>
    <n v="20680"/>
    <n v="0.9445972125268044"/>
  </r>
  <r>
    <s v="REC-0363"/>
    <d v="2024-12-18T00:00:00"/>
    <x v="11"/>
    <x v="5"/>
    <x v="5"/>
    <x v="1"/>
    <x v="1"/>
    <x v="2"/>
    <n v="28"/>
    <n v="27"/>
    <n v="0.96404902837873507"/>
    <n v="0.96948803722648502"/>
    <n v="0.8867164987402838"/>
    <n v="11650"/>
    <n v="0.949493048140999"/>
  </r>
  <r>
    <s v="REC-0364"/>
    <d v="2024-12-19T00:00:00"/>
    <x v="11"/>
    <x v="2"/>
    <x v="2"/>
    <x v="1"/>
    <x v="1"/>
    <x v="0"/>
    <n v="42"/>
    <n v="35"/>
    <n v="0.90445682325593779"/>
    <n v="0.97030796446541234"/>
    <n v="0.91959750839149279"/>
    <n v="14640"/>
    <n v="0.88891323549542833"/>
  </r>
  <r>
    <s v="REC-0365"/>
    <d v="2024-12-20T00:00:00"/>
    <x v="11"/>
    <x v="1"/>
    <x v="1"/>
    <x v="0"/>
    <x v="0"/>
    <x v="1"/>
    <n v="41"/>
    <n v="38"/>
    <n v="0.95406719659634165"/>
    <n v="0.97008693009549385"/>
    <n v="0.93117076087566952"/>
    <n v="22220"/>
    <n v="0.94099569815561657"/>
  </r>
  <r>
    <s v="REC-0366"/>
    <d v="2024-12-20T00:00:00"/>
    <x v="11"/>
    <x v="2"/>
    <x v="2"/>
    <x v="1"/>
    <x v="1"/>
    <x v="0"/>
    <n v="55"/>
    <n v="53"/>
    <n v="0.87726447768511151"/>
    <n v="0.98109692792293168"/>
    <n v="0.88822825689493956"/>
    <n v="19610"/>
    <n v="0.92958085544325098"/>
  </r>
  <r>
    <s v="REC-0367"/>
    <d v="2024-12-24T00:00:00"/>
    <x v="11"/>
    <x v="4"/>
    <x v="4"/>
    <x v="2"/>
    <x v="2"/>
    <x v="1"/>
    <n v="46"/>
    <n v="52"/>
    <n v="0.91042901452576486"/>
    <n v="0.99228323480011993"/>
    <n v="0.93980171941658364"/>
    <n v="24540"/>
    <n v="1.0165839957782543"/>
  </r>
  <r>
    <s v="REC-0368"/>
    <d v="2024-12-25T00:00:00"/>
    <x v="11"/>
    <x v="0"/>
    <x v="0"/>
    <x v="0"/>
    <x v="0"/>
    <x v="0"/>
    <n v="37"/>
    <n v="44"/>
    <n v="0.93467830511602124"/>
    <n v="0.99475118643326188"/>
    <n v="0.95278298002662054"/>
    <n v="24940"/>
    <n v="1.0491145259249943"/>
  </r>
  <r>
    <s v="REC-0369"/>
    <d v="2024-12-31T00:00:00"/>
    <x v="11"/>
    <x v="2"/>
    <x v="2"/>
    <x v="1"/>
    <x v="1"/>
    <x v="0"/>
    <n v="30"/>
    <n v="26"/>
    <n v="0.93223255368036828"/>
    <n v="0.95743549170097919"/>
    <n v="0.92107100418562426"/>
    <n v="11190"/>
    <n v="0.90755432967903049"/>
  </r>
  <r>
    <s v="REC-0370"/>
    <d v="2024-12-31T00:00:00"/>
    <x v="11"/>
    <x v="4"/>
    <x v="4"/>
    <x v="2"/>
    <x v="2"/>
    <x v="1"/>
    <n v="35"/>
    <n v="35"/>
    <n v="0.9223014292300391"/>
    <n v="0.95885066886232184"/>
    <n v="0.995"/>
    <n v="15950"/>
    <n v="0.97340295763685813"/>
  </r>
  <r>
    <s v="REC-0371"/>
    <d v="2025-01-01T00:00:00"/>
    <x v="12"/>
    <x v="2"/>
    <x v="2"/>
    <x v="1"/>
    <x v="1"/>
    <x v="0"/>
    <n v="53"/>
    <n v="51"/>
    <n v="0.86951609107611116"/>
    <n v="0.96406680960111724"/>
    <n v="0.89209908550088224"/>
    <n v="18260"/>
    <n v="0.92531452168673023"/>
  </r>
  <r>
    <s v="REC-0372"/>
    <d v="2025-01-02T00:00:00"/>
    <x v="12"/>
    <x v="5"/>
    <x v="5"/>
    <x v="1"/>
    <x v="1"/>
    <x v="2"/>
    <n v="29"/>
    <n v="29"/>
    <n v="0.9615728495429946"/>
    <n v="1"/>
    <n v="0.95639355939919168"/>
    <n v="12110"/>
    <n v="0.98167192426558703"/>
  </r>
  <r>
    <s v="REC-0373"/>
    <d v="2025-01-02T00:00:00"/>
    <x v="12"/>
    <x v="3"/>
    <x v="3"/>
    <x v="2"/>
    <x v="2"/>
    <x v="0"/>
    <n v="31"/>
    <n v="33"/>
    <n v="0.89353936149626112"/>
    <n v="0.96259442813780216"/>
    <n v="0.98184597954141584"/>
    <n v="14750"/>
    <n v="0.9899496521159219"/>
  </r>
  <r>
    <s v="REC-0374"/>
    <d v="2025-01-03T00:00:00"/>
    <x v="12"/>
    <x v="2"/>
    <x v="2"/>
    <x v="1"/>
    <x v="1"/>
    <x v="0"/>
    <n v="35"/>
    <n v="34"/>
    <n v="0.90166184661939175"/>
    <n v="0.91980121301695117"/>
    <n v="0.89184652448839974"/>
    <n v="14870"/>
    <n v="0.93032637707649912"/>
  </r>
  <r>
    <s v="REC-0375"/>
    <d v="2025-01-03T00:00:00"/>
    <x v="12"/>
    <x v="2"/>
    <x v="2"/>
    <x v="1"/>
    <x v="1"/>
    <x v="0"/>
    <n v="37"/>
    <n v="36"/>
    <n v="0.94286020139673243"/>
    <n v="0.89037327654875265"/>
    <n v="0.8726476504978451"/>
    <n v="15680"/>
    <n v="0.93298976112025434"/>
  </r>
  <r>
    <s v="REC-0376"/>
    <d v="2025-01-03T00:00:00"/>
    <x v="12"/>
    <x v="3"/>
    <x v="3"/>
    <x v="2"/>
    <x v="2"/>
    <x v="0"/>
    <n v="31"/>
    <n v="35"/>
    <n v="0.96443241655272827"/>
    <n v="0.93134858952936095"/>
    <n v="0.95555333207459769"/>
    <n v="14520"/>
    <n v="1.0235339622083122"/>
  </r>
  <r>
    <s v="REC-0377"/>
    <d v="2025-01-03T00:00:00"/>
    <x v="12"/>
    <x v="3"/>
    <x v="3"/>
    <x v="2"/>
    <x v="2"/>
    <x v="0"/>
    <n v="29"/>
    <n v="25"/>
    <n v="0.93197030719769147"/>
    <n v="0.95069030253755715"/>
    <n v="0.95531050782015103"/>
    <n v="10330"/>
    <n v="0.91148580995098327"/>
  </r>
  <r>
    <s v="REC-0378"/>
    <d v="2025-01-03T00:00:00"/>
    <x v="12"/>
    <x v="3"/>
    <x v="3"/>
    <x v="2"/>
    <x v="2"/>
    <x v="0"/>
    <n v="53"/>
    <n v="50"/>
    <n v="0.90828894359062351"/>
    <n v="0.98622605571498767"/>
    <n v="0.97507988269593937"/>
    <n v="25440"/>
    <n v="0.94738061136012974"/>
  </r>
  <r>
    <s v="REC-0379"/>
    <d v="2025-01-03T00:00:00"/>
    <x v="12"/>
    <x v="4"/>
    <x v="4"/>
    <x v="2"/>
    <x v="2"/>
    <x v="1"/>
    <n v="30"/>
    <n v="32"/>
    <n v="0.96647099359003963"/>
    <n v="0.96325970099215974"/>
    <n v="0.98073976715622058"/>
    <n v="13770"/>
    <n v="1.0089213236442447"/>
  </r>
  <r>
    <s v="REC-0380"/>
    <d v="2025-01-03T00:00:00"/>
    <x v="12"/>
    <x v="4"/>
    <x v="4"/>
    <x v="2"/>
    <x v="2"/>
    <x v="1"/>
    <n v="30"/>
    <n v="35"/>
    <n v="0.95284787258351955"/>
    <n v="0.98485952141593103"/>
    <n v="0.93869706727488877"/>
    <n v="14780"/>
    <n v="1.040346976479914"/>
  </r>
  <r>
    <s v="REC-0381"/>
    <d v="2025-01-03T00:00:00"/>
    <x v="12"/>
    <x v="4"/>
    <x v="4"/>
    <x v="2"/>
    <x v="2"/>
    <x v="1"/>
    <n v="38"/>
    <n v="45"/>
    <n v="0.995"/>
    <n v="0.96439348030754546"/>
    <n v="0.95927379290199843"/>
    <n v="22950"/>
    <n v="1.0589479911528472"/>
  </r>
  <r>
    <s v="REC-0382"/>
    <d v="2025-01-03T00:00:00"/>
    <x v="12"/>
    <x v="4"/>
    <x v="4"/>
    <x v="2"/>
    <x v="2"/>
    <x v="1"/>
    <n v="40"/>
    <n v="47"/>
    <n v="0.995"/>
    <n v="0.96812708712875051"/>
    <n v="0.98905363282158809"/>
    <n v="21550"/>
    <n v="1.0617797896336301"/>
  </r>
  <r>
    <s v="REC-0383"/>
    <d v="2025-01-06T00:00:00"/>
    <x v="12"/>
    <x v="5"/>
    <x v="5"/>
    <x v="1"/>
    <x v="1"/>
    <x v="2"/>
    <n v="54"/>
    <n v="57"/>
    <n v="0.93457378830975102"/>
    <n v="0.98133568909448909"/>
    <n v="0.95489355013049537"/>
    <n v="21320"/>
    <n v="0.99404473268993254"/>
  </r>
  <r>
    <s v="REC-0384"/>
    <d v="2025-01-07T00:00:00"/>
    <x v="12"/>
    <x v="3"/>
    <x v="3"/>
    <x v="2"/>
    <x v="2"/>
    <x v="0"/>
    <n v="50"/>
    <n v="47"/>
    <n v="0.93523799044632738"/>
    <n v="0.95935343668184225"/>
    <n v="0.9384946514220015"/>
    <n v="20890"/>
    <n v="0.94141144339825855"/>
  </r>
  <r>
    <s v="REC-0385"/>
    <d v="2025-01-07T00:00:00"/>
    <x v="12"/>
    <x v="4"/>
    <x v="4"/>
    <x v="2"/>
    <x v="2"/>
    <x v="1"/>
    <n v="39"/>
    <n v="45"/>
    <n v="0.94970780857385528"/>
    <n v="0.98415418177587421"/>
    <n v="0.92978243175846065"/>
    <n v="19180"/>
    <n v="1.0325450272999985"/>
  </r>
  <r>
    <s v="REC-0386"/>
    <d v="2025-01-09T00:00:00"/>
    <x v="12"/>
    <x v="3"/>
    <x v="3"/>
    <x v="2"/>
    <x v="2"/>
    <x v="0"/>
    <n v="45"/>
    <n v="46"/>
    <n v="0.91376747495811761"/>
    <n v="0.97649560344743902"/>
    <n v="0.90164306301602748"/>
    <n v="20030"/>
    <n v="0.96413371074873966"/>
  </r>
  <r>
    <s v="REC-0387"/>
    <d v="2025-01-10T00:00:00"/>
    <x v="12"/>
    <x v="0"/>
    <x v="0"/>
    <x v="0"/>
    <x v="0"/>
    <x v="0"/>
    <n v="45"/>
    <n v="48"/>
    <n v="0.93538374248319389"/>
    <n v="0.96561685137264208"/>
    <n v="0.89669490328302826"/>
    <n v="31220"/>
    <n v="0.98469411064996726"/>
  </r>
  <r>
    <s v="REC-0388"/>
    <d v="2025-01-10T00:00:00"/>
    <x v="12"/>
    <x v="0"/>
    <x v="0"/>
    <x v="0"/>
    <x v="0"/>
    <x v="0"/>
    <n v="50"/>
    <n v="53"/>
    <n v="0.93633171130473369"/>
    <n v="0.97987810018679677"/>
    <n v="0.91546761089939688"/>
    <n v="30780"/>
    <n v="0.98815816503408238"/>
  </r>
  <r>
    <s v="REC-0389"/>
    <d v="2025-01-10T00:00:00"/>
    <x v="12"/>
    <x v="0"/>
    <x v="0"/>
    <x v="0"/>
    <x v="0"/>
    <x v="0"/>
    <n v="31"/>
    <n v="28"/>
    <n v="0.91106393783530926"/>
    <n v="0.99552630509657292"/>
    <n v="0.95106958217669402"/>
    <n v="16180"/>
    <n v="0.92859916923929731"/>
  </r>
  <r>
    <s v="REC-0390"/>
    <d v="2025-01-10T00:00:00"/>
    <x v="12"/>
    <x v="4"/>
    <x v="4"/>
    <x v="2"/>
    <x v="2"/>
    <x v="1"/>
    <n v="49"/>
    <n v="60"/>
    <n v="0.93840195825131201"/>
    <n v="0.96577774027482266"/>
    <n v="0.97523809112104853"/>
    <n v="28070"/>
    <n v="1.054514768828261"/>
  </r>
  <r>
    <s v="REC-0391"/>
    <d v="2025-01-15T00:00:00"/>
    <x v="12"/>
    <x v="4"/>
    <x v="4"/>
    <x v="2"/>
    <x v="2"/>
    <x v="1"/>
    <n v="52"/>
    <n v="58"/>
    <n v="0.96976028494259747"/>
    <n v="1"/>
    <n v="0.99036645654248323"/>
    <n v="31340"/>
    <n v="1.0366672086979922"/>
  </r>
  <r>
    <s v="REC-0392"/>
    <d v="2025-01-17T00:00:00"/>
    <x v="12"/>
    <x v="0"/>
    <x v="0"/>
    <x v="0"/>
    <x v="0"/>
    <x v="0"/>
    <n v="31"/>
    <n v="35"/>
    <n v="0.90317504636953905"/>
    <n v="0.9432430892698771"/>
    <n v="0.90856973124587059"/>
    <n v="18600"/>
    <n v="1.000607074457847"/>
  </r>
  <r>
    <s v="REC-0393"/>
    <d v="2025-01-17T00:00:00"/>
    <x v="12"/>
    <x v="2"/>
    <x v="2"/>
    <x v="1"/>
    <x v="1"/>
    <x v="0"/>
    <n v="48"/>
    <n v="47"/>
    <n v="0.94535709017633318"/>
    <n v="0.94281794810779285"/>
    <n v="0.89694697290098491"/>
    <n v="18480"/>
    <n v="0.94881802600711596"/>
  </r>
  <r>
    <s v="REC-0394"/>
    <d v="2025-01-17T00:00:00"/>
    <x v="12"/>
    <x v="5"/>
    <x v="5"/>
    <x v="1"/>
    <x v="1"/>
    <x v="2"/>
    <n v="42"/>
    <n v="48"/>
    <n v="0.97228503522113607"/>
    <n v="0.98216370846320333"/>
    <n v="0.89277512221014976"/>
    <n v="21660"/>
    <n v="1.0260936966596517"/>
  </r>
  <r>
    <s v="REC-0395"/>
    <d v="2025-01-17T00:00:00"/>
    <x v="12"/>
    <x v="3"/>
    <x v="3"/>
    <x v="2"/>
    <x v="2"/>
    <x v="0"/>
    <n v="35"/>
    <n v="33"/>
    <n v="0.93872790834120512"/>
    <n v="0.96251192090228588"/>
    <n v="0.96335127209815008"/>
    <n v="13640"/>
    <n v="0.94887187678313134"/>
  </r>
  <r>
    <s v="REC-0396"/>
    <d v="2025-01-17T00:00:00"/>
    <x v="12"/>
    <x v="4"/>
    <x v="4"/>
    <x v="2"/>
    <x v="2"/>
    <x v="1"/>
    <n v="50"/>
    <n v="57"/>
    <n v="0.98120104607426484"/>
    <n v="0.96064906428389574"/>
    <n v="0.94989119954785262"/>
    <n v="27110"/>
    <n v="1.0353758610707211"/>
  </r>
  <r>
    <s v="REC-0397"/>
    <d v="2025-01-20T00:00:00"/>
    <x v="12"/>
    <x v="0"/>
    <x v="0"/>
    <x v="0"/>
    <x v="0"/>
    <x v="0"/>
    <n v="55"/>
    <n v="57"/>
    <n v="0.95748126001749156"/>
    <n v="0.94352196383040643"/>
    <n v="0.93843394429627158"/>
    <n v="35720"/>
    <n v="0.98313085298364267"/>
  </r>
  <r>
    <s v="REC-0398"/>
    <d v="2025-01-20T00:00:00"/>
    <x v="12"/>
    <x v="1"/>
    <x v="1"/>
    <x v="0"/>
    <x v="0"/>
    <x v="1"/>
    <n v="33"/>
    <n v="33"/>
    <n v="0.89367104418481214"/>
    <n v="0.96889807818050067"/>
    <n v="0.93146837321318454"/>
    <n v="19220"/>
    <n v="0.95504614741591509"/>
  </r>
  <r>
    <s v="REC-0399"/>
    <d v="2025-01-20T00:00:00"/>
    <x v="12"/>
    <x v="2"/>
    <x v="2"/>
    <x v="1"/>
    <x v="1"/>
    <x v="0"/>
    <n v="36"/>
    <n v="35"/>
    <n v="0.87914892057427674"/>
    <n v="0.96750043387543772"/>
    <n v="0.91281903413576293"/>
    <n v="14270"/>
    <n v="0.93636499094092629"/>
  </r>
  <r>
    <s v="REC-0400"/>
    <d v="2025-01-21T00:00:00"/>
    <x v="12"/>
    <x v="5"/>
    <x v="5"/>
    <x v="1"/>
    <x v="1"/>
    <x v="2"/>
    <n v="29"/>
    <n v="27"/>
    <n v="0.96582905671504526"/>
    <n v="0.99631196461553717"/>
    <n v="0.94607755349597744"/>
    <n v="10670"/>
    <n v="0.95253336267373567"/>
  </r>
  <r>
    <s v="REC-0401"/>
    <d v="2025-01-22T00:00:00"/>
    <x v="12"/>
    <x v="4"/>
    <x v="4"/>
    <x v="2"/>
    <x v="2"/>
    <x v="1"/>
    <n v="40"/>
    <n v="44"/>
    <n v="0.95274481565646252"/>
    <n v="0.95794550178670734"/>
    <n v="0.98210096590333174"/>
    <n v="18960"/>
    <n v="1.0182982223627881"/>
  </r>
  <r>
    <s v="REC-0402"/>
    <d v="2025-01-24T00:00:00"/>
    <x v="12"/>
    <x v="1"/>
    <x v="1"/>
    <x v="0"/>
    <x v="0"/>
    <x v="1"/>
    <n v="44"/>
    <n v="43"/>
    <n v="0.92995224567899071"/>
    <n v="0.96596044494240674"/>
    <n v="0.93835937016051174"/>
    <n v="21940"/>
    <n v="0.95596309310230199"/>
  </r>
  <r>
    <s v="REC-0403"/>
    <d v="2025-01-24T00:00:00"/>
    <x v="12"/>
    <x v="2"/>
    <x v="2"/>
    <x v="1"/>
    <x v="1"/>
    <x v="0"/>
    <n v="54"/>
    <n v="48"/>
    <n v="0.88357576854921327"/>
    <n v="0.9407528897778239"/>
    <n v="0.86284625963630224"/>
    <n v="19720"/>
    <n v="0.89013168308679302"/>
  </r>
  <r>
    <s v="REC-0404"/>
    <d v="2025-01-28T00:00:00"/>
    <x v="12"/>
    <x v="5"/>
    <x v="5"/>
    <x v="1"/>
    <x v="1"/>
    <x v="2"/>
    <n v="55"/>
    <n v="54"/>
    <n v="0.95395696362892446"/>
    <n v="0.95882198534023244"/>
    <n v="0.90458012791984388"/>
    <n v="25790"/>
    <n v="0.95595583701950748"/>
  </r>
  <r>
    <s v="REC-0405"/>
    <d v="2025-01-30T00:00:00"/>
    <x v="12"/>
    <x v="3"/>
    <x v="3"/>
    <x v="2"/>
    <x v="2"/>
    <x v="0"/>
    <n v="31"/>
    <n v="30"/>
    <n v="0.96761685717359058"/>
    <n v="0.9940278070812143"/>
    <n v="0.96441602059544329"/>
    <n v="12120"/>
    <n v="0.97098836366821684"/>
  </r>
  <r>
    <s v="REC-0406"/>
    <d v="2025-01-31T00:00:00"/>
    <x v="12"/>
    <x v="2"/>
    <x v="2"/>
    <x v="1"/>
    <x v="1"/>
    <x v="0"/>
    <n v="48"/>
    <n v="47"/>
    <n v="0.9023980897737891"/>
    <n v="0.97509939367134379"/>
    <n v="0.93874428849444169"/>
    <n v="18440"/>
    <n v="0.95127995585970382"/>
  </r>
  <r>
    <s v="REC-0407"/>
    <d v="2025-01-31T00:00:00"/>
    <x v="12"/>
    <x v="5"/>
    <x v="5"/>
    <x v="1"/>
    <x v="1"/>
    <x v="2"/>
    <n v="38"/>
    <n v="37"/>
    <n v="0.91299642757084998"/>
    <n v="0.97442942124534204"/>
    <n v="0.86894416396473806"/>
    <n v="17280"/>
    <n v="0.93767603708298775"/>
  </r>
  <r>
    <s v="REC-0408"/>
    <d v="2025-02-05T00:00:00"/>
    <x v="13"/>
    <x v="3"/>
    <x v="3"/>
    <x v="2"/>
    <x v="2"/>
    <x v="0"/>
    <n v="30"/>
    <n v="28"/>
    <n v="0.92781784383350541"/>
    <n v="0.97082702048983816"/>
    <n v="0.92751640619816522"/>
    <n v="12530"/>
    <n v="0.93641512860481835"/>
  </r>
  <r>
    <s v="REC-0409"/>
    <d v="2025-02-06T00:00:00"/>
    <x v="13"/>
    <x v="0"/>
    <x v="0"/>
    <x v="0"/>
    <x v="0"/>
    <x v="0"/>
    <n v="51"/>
    <n v="57"/>
    <n v="0.96130976884132191"/>
    <n v="0.95493272923513506"/>
    <n v="0.96033391470308227"/>
    <n v="30590"/>
    <n v="1.022692958065629"/>
  </r>
  <r>
    <s v="REC-0410"/>
    <d v="2025-02-06T00:00:00"/>
    <x v="13"/>
    <x v="5"/>
    <x v="5"/>
    <x v="1"/>
    <x v="1"/>
    <x v="2"/>
    <n v="44"/>
    <n v="53"/>
    <n v="0.995"/>
    <n v="0.99536489595314626"/>
    <n v="0.88092918821264798"/>
    <n v="25350"/>
    <n v="1.0542405720355015"/>
  </r>
  <r>
    <s v="REC-0411"/>
    <d v="2025-02-06T00:00:00"/>
    <x v="13"/>
    <x v="3"/>
    <x v="3"/>
    <x v="2"/>
    <x v="2"/>
    <x v="0"/>
    <n v="47"/>
    <n v="46"/>
    <n v="0.9110306039047662"/>
    <n v="0.94254932812217695"/>
    <n v="0.98340198130258072"/>
    <n v="21390"/>
    <n v="0.95730980815716182"/>
  </r>
  <r>
    <s v="REC-0412"/>
    <d v="2025-02-07T00:00:00"/>
    <x v="13"/>
    <x v="1"/>
    <x v="1"/>
    <x v="0"/>
    <x v="0"/>
    <x v="1"/>
    <n v="28"/>
    <n v="28"/>
    <n v="0.93485929220722641"/>
    <n v="0.93970668637325494"/>
    <n v="0.98299806683553026"/>
    <n v="14550"/>
    <n v="0.97127043937490087"/>
  </r>
  <r>
    <s v="REC-0413"/>
    <d v="2025-02-07T00:00:00"/>
    <x v="13"/>
    <x v="2"/>
    <x v="2"/>
    <x v="1"/>
    <x v="1"/>
    <x v="0"/>
    <n v="40"/>
    <n v="35"/>
    <n v="0.88652557636191021"/>
    <n v="0.94944308209852557"/>
    <n v="0.87985387225196598"/>
    <n v="12420"/>
    <n v="0.89001863085564958"/>
  </r>
  <r>
    <s v="REC-0414"/>
    <d v="2025-02-07T00:00:00"/>
    <x v="13"/>
    <x v="3"/>
    <x v="3"/>
    <x v="2"/>
    <x v="2"/>
    <x v="0"/>
    <n v="54"/>
    <n v="50"/>
    <n v="0.9676616050006146"/>
    <n v="0.96319563181581769"/>
    <n v="0.94629945923001979"/>
    <n v="26020"/>
    <n v="0.94602500823890079"/>
  </r>
  <r>
    <s v="REC-0415"/>
    <d v="2025-02-10T00:00:00"/>
    <x v="13"/>
    <x v="1"/>
    <x v="1"/>
    <x v="0"/>
    <x v="0"/>
    <x v="1"/>
    <n v="46"/>
    <n v="50"/>
    <n v="0.94002613458908379"/>
    <n v="0.94186611823041821"/>
    <n v="0.90570264810754864"/>
    <n v="26830"/>
    <n v="0.99220958969899553"/>
  </r>
  <r>
    <s v="REC-0416"/>
    <d v="2025-02-10T00:00:00"/>
    <x v="13"/>
    <x v="3"/>
    <x v="3"/>
    <x v="2"/>
    <x v="2"/>
    <x v="0"/>
    <n v="52"/>
    <n v="53"/>
    <n v="0.96244050462029962"/>
    <n v="0.94943539561650803"/>
    <n v="0.93400482037585419"/>
    <n v="24970"/>
    <n v="0.97751870726502976"/>
  </r>
  <r>
    <s v="REC-0417"/>
    <d v="2025-02-11T00:00:00"/>
    <x v="13"/>
    <x v="0"/>
    <x v="0"/>
    <x v="0"/>
    <x v="0"/>
    <x v="0"/>
    <n v="34"/>
    <n v="41"/>
    <n v="0.93280894379463131"/>
    <n v="0.95411394055949705"/>
    <n v="0.93079158268419204"/>
    <n v="22230"/>
    <n v="1.0424776435694207"/>
  </r>
  <r>
    <s v="REC-0418"/>
    <d v="2025-02-11T00:00:00"/>
    <x v="13"/>
    <x v="1"/>
    <x v="1"/>
    <x v="0"/>
    <x v="0"/>
    <x v="1"/>
    <n v="38"/>
    <n v="37"/>
    <n v="0.959316861159623"/>
    <n v="0.93646192245575455"/>
    <n v="0.95199707379986642"/>
    <n v="19180"/>
    <n v="0.96017160262876855"/>
  </r>
  <r>
    <s v="REC-0419"/>
    <d v="2025-02-14T00:00:00"/>
    <x v="13"/>
    <x v="5"/>
    <x v="5"/>
    <x v="1"/>
    <x v="1"/>
    <x v="2"/>
    <n v="50"/>
    <n v="52"/>
    <n v="0.96461937159740152"/>
    <n v="0.9424857494919443"/>
    <n v="0.95073026495585977"/>
    <n v="23020"/>
    <n v="0.98867375831431403"/>
  </r>
  <r>
    <s v="REC-0420"/>
    <d v="2025-02-18T00:00:00"/>
    <x v="13"/>
    <x v="3"/>
    <x v="3"/>
    <x v="2"/>
    <x v="2"/>
    <x v="0"/>
    <n v="50"/>
    <n v="50"/>
    <n v="0.96901572910234779"/>
    <n v="0.94445598865732616"/>
    <n v="0.9651372948371213"/>
    <n v="22240"/>
    <n v="0.97694978954161005"/>
  </r>
  <r>
    <s v="REC-0421"/>
    <d v="2025-02-18T00:00:00"/>
    <x v="13"/>
    <x v="3"/>
    <x v="3"/>
    <x v="2"/>
    <x v="2"/>
    <x v="0"/>
    <n v="28"/>
    <n v="29"/>
    <n v="0.92889117543782695"/>
    <n v="0.97891227139729353"/>
    <n v="0.93031008107825641"/>
    <n v="14070"/>
    <n v="0.97940736507041648"/>
  </r>
  <r>
    <s v="REC-0422"/>
    <d v="2025-02-19T00:00:00"/>
    <x v="13"/>
    <x v="5"/>
    <x v="5"/>
    <x v="1"/>
    <x v="1"/>
    <x v="2"/>
    <n v="42"/>
    <n v="35"/>
    <n v="0.9219224317324568"/>
    <n v="0.98412896052989463"/>
    <n v="0.9605150393048868"/>
    <n v="16080"/>
    <n v="0.90353629320690909"/>
  </r>
  <r>
    <s v="REC-0423"/>
    <d v="2025-02-20T00:00:00"/>
    <x v="13"/>
    <x v="3"/>
    <x v="3"/>
    <x v="2"/>
    <x v="2"/>
    <x v="0"/>
    <n v="47"/>
    <n v="47"/>
    <n v="0.87512373255381737"/>
    <n v="0.96089226553064788"/>
    <n v="0.95602388094764545"/>
    <n v="23300"/>
    <n v="0.95411954915758068"/>
  </r>
  <r>
    <s v="REC-0424"/>
    <d v="2025-02-21T00:00:00"/>
    <x v="13"/>
    <x v="1"/>
    <x v="1"/>
    <x v="0"/>
    <x v="0"/>
    <x v="1"/>
    <n v="28"/>
    <n v="29"/>
    <n v="0.94506830223060567"/>
    <n v="0.97966950255566621"/>
    <n v="0.90323251534745308"/>
    <n v="18040"/>
    <n v="0.97814971829620634"/>
  </r>
  <r>
    <s v="REC-0425"/>
    <d v="2025-02-21T00:00:00"/>
    <x v="13"/>
    <x v="2"/>
    <x v="2"/>
    <x v="1"/>
    <x v="1"/>
    <x v="0"/>
    <n v="46"/>
    <n v="52"/>
    <n v="0.85634180884303157"/>
    <n v="0.97228737290272793"/>
    <n v="0.93212010972535853"/>
    <n v="18890"/>
    <n v="0.99852649313471697"/>
  </r>
  <r>
    <s v="REC-0426"/>
    <d v="2025-02-24T00:00:00"/>
    <x v="13"/>
    <x v="2"/>
    <x v="2"/>
    <x v="1"/>
    <x v="1"/>
    <x v="0"/>
    <n v="29"/>
    <n v="27"/>
    <n v="0.92789719934045423"/>
    <n v="0.96509140828770024"/>
    <n v="0.87630929520058898"/>
    <n v="12210"/>
    <n v="0.92441366322183471"/>
  </r>
  <r>
    <s v="REC-0427"/>
    <d v="2025-02-24T00:00:00"/>
    <x v="13"/>
    <x v="5"/>
    <x v="5"/>
    <x v="1"/>
    <x v="1"/>
    <x v="2"/>
    <n v="39"/>
    <n v="40"/>
    <n v="0.93568235636443897"/>
    <n v="0.96615502934452724"/>
    <n v="0.92759506891375298"/>
    <n v="17960"/>
    <n v="0.97461926753194961"/>
  </r>
  <r>
    <s v="REC-0428"/>
    <d v="2025-02-24T00:00:00"/>
    <x v="13"/>
    <x v="3"/>
    <x v="3"/>
    <x v="2"/>
    <x v="2"/>
    <x v="0"/>
    <n v="44"/>
    <n v="45"/>
    <n v="0.87658817052413607"/>
    <n v="0.98048118975821685"/>
    <n v="0.90842395015949617"/>
    <n v="18250"/>
    <n v="0.95699492021757493"/>
  </r>
  <r>
    <s v="REC-0429"/>
    <d v="2025-02-25T00:00:00"/>
    <x v="13"/>
    <x v="0"/>
    <x v="0"/>
    <x v="0"/>
    <x v="0"/>
    <x v="0"/>
    <n v="28"/>
    <n v="34"/>
    <n v="0.94636077401322716"/>
    <n v="0.95557556368131413"/>
    <n v="0.92505816813289277"/>
    <n v="19600"/>
    <n v="1.0449381616820825"/>
  </r>
  <r>
    <s v="REC-0430"/>
    <d v="2025-02-25T00:00:00"/>
    <x v="13"/>
    <x v="5"/>
    <x v="5"/>
    <x v="1"/>
    <x v="1"/>
    <x v="2"/>
    <n v="35"/>
    <n v="40"/>
    <n v="0.93914244429877314"/>
    <n v="0.99102469743897925"/>
    <n v="0.92398351645260668"/>
    <n v="16860"/>
    <n v="1.0253788761239186"/>
  </r>
  <r>
    <s v="REC-0431"/>
    <d v="2025-02-26T00:00:00"/>
    <x v="13"/>
    <x v="2"/>
    <x v="2"/>
    <x v="1"/>
    <x v="1"/>
    <x v="0"/>
    <n v="35"/>
    <n v="33"/>
    <n v="0.82772789754915232"/>
    <n v="0.95032522994837443"/>
    <n v="0.88002375929484444"/>
    <n v="14540"/>
    <n v="0.90262836788137035"/>
  </r>
  <r>
    <s v="REC-0432"/>
    <d v="2025-02-26T00:00:00"/>
    <x v="13"/>
    <x v="4"/>
    <x v="4"/>
    <x v="2"/>
    <x v="2"/>
    <x v="1"/>
    <n v="34"/>
    <n v="39"/>
    <n v="0.94953955896467379"/>
    <n v="0.97369131816598709"/>
    <n v="0.995"/>
    <n v="19460"/>
    <n v="1.0412621168778313"/>
  </r>
  <r>
    <s v="REC-0433"/>
    <d v="2025-02-28T00:00:00"/>
    <x v="13"/>
    <x v="1"/>
    <x v="1"/>
    <x v="0"/>
    <x v="0"/>
    <x v="1"/>
    <n v="47"/>
    <n v="44"/>
    <n v="0.90247020615657958"/>
    <n v="0.96283080740560467"/>
    <n v="0.92392635178415772"/>
    <n v="26960"/>
    <n v="0.92929552811320026"/>
  </r>
  <r>
    <s v="REC-0434"/>
    <d v="2025-02-28T00:00:00"/>
    <x v="13"/>
    <x v="1"/>
    <x v="1"/>
    <x v="0"/>
    <x v="0"/>
    <x v="1"/>
    <n v="47"/>
    <n v="45"/>
    <n v="0.89968178432643298"/>
    <n v="0.94961713437218254"/>
    <n v="0.93399631309175535"/>
    <n v="27880"/>
    <n v="0.93714100226004216"/>
  </r>
  <r>
    <s v="REC-0435"/>
    <d v="2025-02-28T00:00:00"/>
    <x v="13"/>
    <x v="1"/>
    <x v="1"/>
    <x v="0"/>
    <x v="0"/>
    <x v="1"/>
    <n v="45"/>
    <n v="44"/>
    <n v="0.91964670452181341"/>
    <n v="0.96224440001649347"/>
    <n v="0.96839978349545508"/>
    <n v="23280"/>
    <n v="0.95903940394312948"/>
  </r>
  <r>
    <s v="REC-0436"/>
    <d v="2025-02-28T00:00:00"/>
    <x v="13"/>
    <x v="1"/>
    <x v="1"/>
    <x v="0"/>
    <x v="0"/>
    <x v="1"/>
    <n v="53"/>
    <n v="51"/>
    <n v="0.927463985904455"/>
    <n v="0.95470375982695888"/>
    <n v="0.89289274494941406"/>
    <n v="29990"/>
    <n v="0.93855576981739886"/>
  </r>
  <r>
    <s v="REC-0437"/>
    <d v="2025-02-28T00:00:00"/>
    <x v="13"/>
    <x v="2"/>
    <x v="2"/>
    <x v="1"/>
    <x v="1"/>
    <x v="0"/>
    <n v="42"/>
    <n v="37"/>
    <n v="0.92368760798362926"/>
    <n v="0.93975610975068991"/>
    <n v="0.89249348881488855"/>
    <n v="15570"/>
    <n v="0.90276496860244082"/>
  </r>
  <r>
    <s v="REC-0438"/>
    <d v="2025-02-28T00:00:00"/>
    <x v="13"/>
    <x v="2"/>
    <x v="2"/>
    <x v="1"/>
    <x v="1"/>
    <x v="0"/>
    <n v="29"/>
    <n v="32"/>
    <n v="0.8809785649098304"/>
    <n v="0.9237377781643018"/>
    <n v="0.8654110747044057"/>
    <n v="12570"/>
    <n v="0.9732668332378116"/>
  </r>
  <r>
    <s v="REC-0439"/>
    <d v="2025-02-28T00:00:00"/>
    <x v="13"/>
    <x v="2"/>
    <x v="2"/>
    <x v="1"/>
    <x v="1"/>
    <x v="0"/>
    <n v="32"/>
    <n v="32"/>
    <n v="0.8731858508424799"/>
    <n v="0.95948116998313882"/>
    <n v="0.90801442017419687"/>
    <n v="14380"/>
    <n v="0.94382152224293026"/>
  </r>
  <r>
    <s v="REC-0440"/>
    <d v="2025-02-28T00:00:00"/>
    <x v="13"/>
    <x v="5"/>
    <x v="5"/>
    <x v="1"/>
    <x v="1"/>
    <x v="2"/>
    <n v="48"/>
    <n v="45"/>
    <n v="0.93396180538972429"/>
    <n v="0.96643780685035885"/>
    <n v="0.93816840728721984"/>
    <n v="17180"/>
    <n v="0.94108980383242891"/>
  </r>
  <r>
    <s v="REC-0441"/>
    <d v="2025-02-28T00:00:00"/>
    <x v="13"/>
    <x v="5"/>
    <x v="5"/>
    <x v="1"/>
    <x v="1"/>
    <x v="2"/>
    <n v="33"/>
    <n v="36"/>
    <n v="0.99403011178952994"/>
    <n v="0.99225906062176583"/>
    <n v="0.90194586067233584"/>
    <n v="15280"/>
    <n v="1.0140991955387508"/>
  </r>
  <r>
    <s v="REC-0442"/>
    <d v="2025-02-28T00:00:00"/>
    <x v="13"/>
    <x v="3"/>
    <x v="3"/>
    <x v="2"/>
    <x v="2"/>
    <x v="0"/>
    <n v="36"/>
    <n v="36"/>
    <n v="0.96144186718363867"/>
    <n v="0.95508681224131808"/>
    <n v="0.95081901005826996"/>
    <n v="17490"/>
    <n v="0.97378729064376146"/>
  </r>
  <r>
    <s v="REC-0443"/>
    <d v="2025-02-28T00:00:00"/>
    <x v="13"/>
    <x v="4"/>
    <x v="4"/>
    <x v="2"/>
    <x v="2"/>
    <x v="1"/>
    <n v="41"/>
    <n v="44"/>
    <n v="0.98664068273049454"/>
    <n v="1"/>
    <n v="0.98947557430373279"/>
    <n v="20750"/>
    <n v="1.023823578226297"/>
  </r>
  <r>
    <s v="REC-0444"/>
    <d v="2025-02-28T00:00:00"/>
    <x v="13"/>
    <x v="4"/>
    <x v="4"/>
    <x v="2"/>
    <x v="2"/>
    <x v="1"/>
    <n v="53"/>
    <n v="62"/>
    <n v="0.95890286930210467"/>
    <n v="0.97724657793947689"/>
    <n v="0.96859681441540924"/>
    <n v="28040"/>
    <n v="1.0479565952014163"/>
  </r>
  <r>
    <s v="REC-0445"/>
    <d v="2025-02-28T00:00:00"/>
    <x v="13"/>
    <x v="4"/>
    <x v="4"/>
    <x v="2"/>
    <x v="2"/>
    <x v="1"/>
    <n v="33"/>
    <n v="35"/>
    <n v="0.93222562213020765"/>
    <n v="0.94196956473745797"/>
    <n v="0.99314292175525121"/>
    <n v="14830"/>
    <n v="0.99722284883664514"/>
  </r>
  <r>
    <s v="REC-0446"/>
    <d v="2025-03-04T00:00:00"/>
    <x v="14"/>
    <x v="0"/>
    <x v="0"/>
    <x v="0"/>
    <x v="0"/>
    <x v="0"/>
    <n v="40"/>
    <n v="43"/>
    <n v="0.94652858614444124"/>
    <n v="0.96389265770921728"/>
    <n v="0.8960364022677606"/>
    <n v="22730"/>
    <n v="0.99042332564604496"/>
  </r>
  <r>
    <s v="REC-0447"/>
    <d v="2025-03-05T00:00:00"/>
    <x v="14"/>
    <x v="0"/>
    <x v="0"/>
    <x v="0"/>
    <x v="0"/>
    <x v="0"/>
    <n v="48"/>
    <n v="56"/>
    <n v="0.92990075683701923"/>
    <n v="0.96452155672815409"/>
    <n v="0.96212617009349377"/>
    <n v="35940"/>
    <n v="1.0362453234038433"/>
  </r>
  <r>
    <s v="REC-0448"/>
    <d v="2025-03-06T00:00:00"/>
    <x v="14"/>
    <x v="1"/>
    <x v="1"/>
    <x v="0"/>
    <x v="0"/>
    <x v="1"/>
    <n v="39"/>
    <n v="43"/>
    <n v="0.92110828109021459"/>
    <n v="0.98677332338219681"/>
    <n v="0.90702897097014157"/>
    <n v="23030"/>
    <n v="1.0007245039995525"/>
  </r>
  <r>
    <s v="REC-0449"/>
    <d v="2025-03-07T00:00:00"/>
    <x v="14"/>
    <x v="2"/>
    <x v="2"/>
    <x v="1"/>
    <x v="1"/>
    <x v="0"/>
    <n v="50"/>
    <n v="44"/>
    <n v="0.92281912131337329"/>
    <n v="0.93992723677459256"/>
    <n v="0.88635701281185064"/>
    <n v="15650"/>
    <n v="0.90096526840690239"/>
  </r>
  <r>
    <s v="REC-0450"/>
    <d v="2025-03-07T00:00:00"/>
    <x v="14"/>
    <x v="5"/>
    <x v="5"/>
    <x v="1"/>
    <x v="1"/>
    <x v="2"/>
    <n v="44"/>
    <n v="48"/>
    <n v="0.95814843316763243"/>
    <n v="0.96382699992673315"/>
    <n v="0.92817408724784611"/>
    <n v="20780"/>
    <n v="1.0061096120941238"/>
  </r>
  <r>
    <s v="REC-0451"/>
    <d v="2025-03-07T00:00:00"/>
    <x v="14"/>
    <x v="4"/>
    <x v="4"/>
    <x v="2"/>
    <x v="2"/>
    <x v="1"/>
    <n v="50"/>
    <n v="61"/>
    <n v="0.94047157001124293"/>
    <n v="0.95308460408405116"/>
    <n v="0.95524424254591067"/>
    <n v="26770"/>
    <n v="1.0491294316246007"/>
  </r>
  <r>
    <s v="REC-0452"/>
    <d v="2025-03-07T00:00:00"/>
    <x v="14"/>
    <x v="4"/>
    <x v="4"/>
    <x v="2"/>
    <x v="2"/>
    <x v="1"/>
    <n v="39"/>
    <n v="43"/>
    <n v="0.93251271016707094"/>
    <n v="1"/>
    <n v="0.99115303909951391"/>
    <n v="23440"/>
    <n v="1.0223844263873116"/>
  </r>
  <r>
    <s v="REC-0453"/>
    <d v="2025-03-12T00:00:00"/>
    <x v="14"/>
    <x v="0"/>
    <x v="0"/>
    <x v="0"/>
    <x v="0"/>
    <x v="0"/>
    <n v="33"/>
    <n v="33"/>
    <n v="0.98564373807225758"/>
    <n v="0.96694186550906835"/>
    <n v="0.9589839394637677"/>
    <n v="17310"/>
    <n v="0.98324900223717826"/>
  </r>
  <r>
    <s v="REC-0454"/>
    <d v="2025-03-13T00:00:00"/>
    <x v="14"/>
    <x v="4"/>
    <x v="4"/>
    <x v="2"/>
    <x v="2"/>
    <x v="1"/>
    <n v="44"/>
    <n v="48"/>
    <n v="0.98457621010715346"/>
    <n v="1"/>
    <n v="0.995"/>
    <n v="23170"/>
    <n v="1.0315076888904247"/>
  </r>
  <r>
    <s v="REC-0455"/>
    <d v="2025-03-14T00:00:00"/>
    <x v="14"/>
    <x v="0"/>
    <x v="0"/>
    <x v="0"/>
    <x v="0"/>
    <x v="0"/>
    <n v="51"/>
    <n v="58"/>
    <n v="0.92870944024852742"/>
    <n v="0.95830676515784474"/>
    <n v="0.93768867401646083"/>
    <n v="37140"/>
    <n v="1.0183630704234146"/>
  </r>
  <r>
    <s v="REC-0456"/>
    <d v="2025-03-14T00:00:00"/>
    <x v="14"/>
    <x v="3"/>
    <x v="3"/>
    <x v="2"/>
    <x v="2"/>
    <x v="0"/>
    <n v="55"/>
    <n v="49"/>
    <n v="0.91629155972252407"/>
    <n v="0.9405290705774485"/>
    <n v="0.91197193995937786"/>
    <n v="22940"/>
    <n v="0.90891027487276022"/>
  </r>
  <r>
    <s v="REC-0457"/>
    <d v="2025-03-14T00:00:00"/>
    <x v="14"/>
    <x v="3"/>
    <x v="3"/>
    <x v="2"/>
    <x v="2"/>
    <x v="0"/>
    <n v="28"/>
    <n v="27"/>
    <n v="0.92000237228173076"/>
    <n v="0.93697373491134073"/>
    <n v="0.95997000780952635"/>
    <n v="11090"/>
    <n v="0.94825494058332482"/>
  </r>
  <r>
    <s v="REC-0458"/>
    <d v="2025-03-14T00:00:00"/>
    <x v="14"/>
    <x v="4"/>
    <x v="4"/>
    <x v="2"/>
    <x v="2"/>
    <x v="1"/>
    <n v="53"/>
    <n v="54"/>
    <n v="0.94468997322391457"/>
    <n v="0.96102064278621069"/>
    <n v="0.97636580151766761"/>
    <n v="24120"/>
    <n v="0.98314591983876465"/>
  </r>
  <r>
    <s v="REC-0459"/>
    <d v="2025-03-19T00:00:00"/>
    <x v="14"/>
    <x v="5"/>
    <x v="5"/>
    <x v="1"/>
    <x v="1"/>
    <x v="2"/>
    <n v="39"/>
    <n v="38"/>
    <n v="0.91693543218647555"/>
    <n v="0.97489840663592964"/>
    <n v="0.89215913359189014"/>
    <n v="16970"/>
    <n v="0.94364403550397613"/>
  </r>
  <r>
    <s v="REC-0460"/>
    <d v="2025-03-21T00:00:00"/>
    <x v="14"/>
    <x v="0"/>
    <x v="0"/>
    <x v="0"/>
    <x v="0"/>
    <x v="0"/>
    <n v="49"/>
    <n v="56"/>
    <n v="0.9381896801010341"/>
    <n v="0.96891955298367383"/>
    <n v="0.95343089699309447"/>
    <n v="34810"/>
    <n v="1.0277143895142857"/>
  </r>
  <r>
    <s v="REC-0461"/>
    <d v="2025-03-21T00:00:00"/>
    <x v="14"/>
    <x v="2"/>
    <x v="2"/>
    <x v="1"/>
    <x v="1"/>
    <x v="0"/>
    <n v="32"/>
    <n v="34"/>
    <n v="0.92046813376966752"/>
    <n v="0.93284894434324805"/>
    <n v="0.90502860262944429"/>
    <n v="14640"/>
    <n v="0.97605009561979306"/>
  </r>
  <r>
    <s v="REC-0462"/>
    <d v="2025-03-21T00:00:00"/>
    <x v="14"/>
    <x v="3"/>
    <x v="3"/>
    <x v="2"/>
    <x v="2"/>
    <x v="0"/>
    <n v="34"/>
    <n v="38"/>
    <n v="0.93168416837613155"/>
    <n v="0.96700956824881368"/>
    <n v="0.92199163767973424"/>
    <n v="19480"/>
    <n v="1.0094296283967137"/>
  </r>
  <r>
    <s v="REC-0463"/>
    <d v="2025-03-21T00:00:00"/>
    <x v="14"/>
    <x v="3"/>
    <x v="3"/>
    <x v="2"/>
    <x v="2"/>
    <x v="0"/>
    <n v="44"/>
    <n v="42"/>
    <n v="0.90851587096147868"/>
    <n v="0.97734755191823675"/>
    <n v="0.92323832587013099"/>
    <n v="17950"/>
    <n v="0.94019694752031313"/>
  </r>
  <r>
    <s v="REC-0464"/>
    <d v="2025-03-21T00:00:00"/>
    <x v="14"/>
    <x v="4"/>
    <x v="4"/>
    <x v="2"/>
    <x v="2"/>
    <x v="1"/>
    <n v="36"/>
    <n v="37"/>
    <n v="0.92827210024992768"/>
    <n v="1"/>
    <n v="0.98420081954324423"/>
    <n v="17410"/>
    <n v="0.99001930008224193"/>
  </r>
  <r>
    <s v="REC-0465"/>
    <d v="2025-03-24T00:00:00"/>
    <x v="14"/>
    <x v="1"/>
    <x v="1"/>
    <x v="0"/>
    <x v="0"/>
    <x v="1"/>
    <n v="29"/>
    <n v="31"/>
    <n v="0.93537268808621388"/>
    <n v="0.94955165971989042"/>
    <n v="0.92975236906150971"/>
    <n v="19260"/>
    <n v="0.98981260168839058"/>
  </r>
  <r>
    <s v="REC-0466"/>
    <d v="2025-03-24T00:00:00"/>
    <x v="14"/>
    <x v="2"/>
    <x v="2"/>
    <x v="1"/>
    <x v="1"/>
    <x v="0"/>
    <n v="51"/>
    <n v="49"/>
    <n v="0.88160592124715353"/>
    <n v="0.93980800699915346"/>
    <n v="0.93678729524521154"/>
    <n v="17510"/>
    <n v="0.93304386590089983"/>
  </r>
  <r>
    <s v="REC-0467"/>
    <d v="2025-03-24T00:00:00"/>
    <x v="14"/>
    <x v="3"/>
    <x v="3"/>
    <x v="2"/>
    <x v="2"/>
    <x v="0"/>
    <n v="53"/>
    <n v="52"/>
    <n v="0.96942594901772694"/>
    <n v="0.97346918862665499"/>
    <n v="0.89633027538584786"/>
    <n v="23560"/>
    <n v="0.96009575081427889"/>
  </r>
  <r>
    <s v="REC-0468"/>
    <d v="2025-03-24T00:00:00"/>
    <x v="14"/>
    <x v="4"/>
    <x v="4"/>
    <x v="2"/>
    <x v="2"/>
    <x v="1"/>
    <n v="51"/>
    <n v="55"/>
    <n v="0.96959583198172272"/>
    <n v="0.94810089082339077"/>
    <n v="0.995"/>
    <n v="25610"/>
    <n v="1.014986640638547"/>
  </r>
  <r>
    <s v="REC-0469"/>
    <d v="2025-03-25T00:00:00"/>
    <x v="14"/>
    <x v="5"/>
    <x v="5"/>
    <x v="1"/>
    <x v="1"/>
    <x v="2"/>
    <n v="55"/>
    <n v="54"/>
    <n v="0.92671037405124257"/>
    <n v="1"/>
    <n v="0.87807539787786526"/>
    <n v="22290"/>
    <n v="0.95001994581565652"/>
  </r>
  <r>
    <s v="REC-0470"/>
    <d v="2025-03-26T00:00:00"/>
    <x v="14"/>
    <x v="1"/>
    <x v="1"/>
    <x v="0"/>
    <x v="0"/>
    <x v="1"/>
    <n v="40"/>
    <n v="40"/>
    <n v="0.93593936255909205"/>
    <n v="0.95386798802092487"/>
    <n v="0.9258563240428368"/>
    <n v="23950"/>
    <n v="0.96223630365147905"/>
  </r>
  <r>
    <s v="REC-0471"/>
    <d v="2025-03-26T00:00:00"/>
    <x v="14"/>
    <x v="5"/>
    <x v="5"/>
    <x v="1"/>
    <x v="1"/>
    <x v="2"/>
    <n v="41"/>
    <n v="42"/>
    <n v="0.95398090745474173"/>
    <n v="0.96778607749238821"/>
    <n v="0.90548024668297034"/>
    <n v="18760"/>
    <n v="0.97451528538511334"/>
  </r>
  <r>
    <s v="REC-0472"/>
    <d v="2025-03-26T00:00:00"/>
    <x v="14"/>
    <x v="3"/>
    <x v="3"/>
    <x v="2"/>
    <x v="2"/>
    <x v="0"/>
    <n v="42"/>
    <n v="42"/>
    <n v="0.97976839837065921"/>
    <n v="0.95052408357054419"/>
    <n v="0.93392883066732901"/>
    <n v="20540"/>
    <n v="0.97430647826171213"/>
  </r>
  <r>
    <s v="REC-0473"/>
    <d v="2025-03-26T00:00:00"/>
    <x v="14"/>
    <x v="4"/>
    <x v="4"/>
    <x v="2"/>
    <x v="2"/>
    <x v="1"/>
    <n v="30"/>
    <n v="30"/>
    <n v="0.96916578752544102"/>
    <n v="0.98691199576536137"/>
    <n v="0.9353949090276783"/>
    <n v="13970"/>
    <n v="0.97740722805170011"/>
  </r>
  <r>
    <s v="REC-0474"/>
    <d v="2025-03-28T00:00:00"/>
    <x v="14"/>
    <x v="0"/>
    <x v="0"/>
    <x v="0"/>
    <x v="0"/>
    <x v="0"/>
    <n v="36"/>
    <n v="41"/>
    <n v="0.9724678917604147"/>
    <n v="0.95613026042404314"/>
    <n v="0.90646605178876516"/>
    <n v="21120"/>
    <n v="1.0233852779170187"/>
  </r>
  <r>
    <s v="REC-0475"/>
    <d v="2025-03-28T00:00:00"/>
    <x v="14"/>
    <x v="1"/>
    <x v="1"/>
    <x v="0"/>
    <x v="0"/>
    <x v="1"/>
    <n v="52"/>
    <n v="55"/>
    <n v="0.90471954240510399"/>
    <n v="0.93753964168264348"/>
    <n v="0.96942131717187718"/>
    <n v="27880"/>
    <n v="0.98377201836497108"/>
  </r>
  <r>
    <s v="REC-0476"/>
    <d v="2025-03-28T00:00:00"/>
    <x v="14"/>
    <x v="1"/>
    <x v="1"/>
    <x v="0"/>
    <x v="0"/>
    <x v="1"/>
    <n v="51"/>
    <n v="50"/>
    <n v="0.90594799338711274"/>
    <n v="0.99366705117691057"/>
    <n v="0.97108532268628911"/>
    <n v="25680"/>
    <n v="0.9619109833056706"/>
  </r>
  <r>
    <s v="REC-0477"/>
    <d v="2025-03-28T00:00:00"/>
    <x v="14"/>
    <x v="2"/>
    <x v="2"/>
    <x v="1"/>
    <x v="1"/>
    <x v="0"/>
    <n v="31"/>
    <n v="29"/>
    <n v="0.86635344177661311"/>
    <n v="0.91156026884097463"/>
    <n v="0.89405413149990598"/>
    <n v="11360"/>
    <n v="0.9063267754573775"/>
  </r>
  <r>
    <s v="REC-0478"/>
    <d v="2025-03-28T00:00:00"/>
    <x v="14"/>
    <x v="5"/>
    <x v="5"/>
    <x v="1"/>
    <x v="1"/>
    <x v="2"/>
    <n v="51"/>
    <n v="62"/>
    <n v="0.93090603926748727"/>
    <n v="0.99315043636371192"/>
    <n v="0.91120519869359695"/>
    <n v="28040"/>
    <n v="1.0439401150101482"/>
  </r>
  <r>
    <s v="REC-0479"/>
    <d v="2025-04-01T00:00:00"/>
    <x v="15"/>
    <x v="0"/>
    <x v="0"/>
    <x v="0"/>
    <x v="0"/>
    <x v="0"/>
    <n v="43"/>
    <n v="52"/>
    <n v="0.95688469693806244"/>
    <n v="0.97764053106849136"/>
    <n v="0.96033725925227109"/>
    <n v="33570"/>
    <n v="1.0579347057452435"/>
  </r>
  <r>
    <s v="REC-0480"/>
    <d v="2025-04-01T00:00:00"/>
    <x v="15"/>
    <x v="4"/>
    <x v="4"/>
    <x v="2"/>
    <x v="2"/>
    <x v="1"/>
    <n v="39"/>
    <n v="40"/>
    <n v="0.98952223731761157"/>
    <n v="0.9619938383866794"/>
    <n v="0.95319320776040339"/>
    <n v="18640"/>
    <n v="0.99257468689589567"/>
  </r>
  <r>
    <s v="REC-0481"/>
    <d v="2025-04-02T00:00:00"/>
    <x v="15"/>
    <x v="1"/>
    <x v="1"/>
    <x v="0"/>
    <x v="0"/>
    <x v="1"/>
    <n v="47"/>
    <n v="45"/>
    <n v="0.8776018883834007"/>
    <n v="0.96017911910775378"/>
    <n v="0.95811757686198695"/>
    <n v="24390"/>
    <n v="0.93802957873866599"/>
  </r>
  <r>
    <s v="REC-0482"/>
    <d v="2025-04-03T00:00:00"/>
    <x v="15"/>
    <x v="5"/>
    <x v="5"/>
    <x v="1"/>
    <x v="1"/>
    <x v="2"/>
    <n v="40"/>
    <n v="44"/>
    <n v="0.95236170811676191"/>
    <n v="0.97929843562529495"/>
    <n v="0.92478094276424161"/>
    <n v="16770"/>
    <n v="1.0099413809258331"/>
  </r>
  <r>
    <s v="REC-0483"/>
    <d v="2025-04-04T00:00:00"/>
    <x v="15"/>
    <x v="0"/>
    <x v="0"/>
    <x v="0"/>
    <x v="0"/>
    <x v="0"/>
    <n v="52"/>
    <n v="51"/>
    <n v="0.92796732166145324"/>
    <n v="0.95231642193277877"/>
    <n v="0.90405438150416517"/>
    <n v="26420"/>
    <n v="0.94795786231380552"/>
  </r>
  <r>
    <s v="REC-0484"/>
    <d v="2025-04-04T00:00:00"/>
    <x v="15"/>
    <x v="3"/>
    <x v="3"/>
    <x v="2"/>
    <x v="2"/>
    <x v="0"/>
    <n v="35"/>
    <n v="33"/>
    <n v="0.92779602248989124"/>
    <n v="0.96729266058234376"/>
    <n v="0.91165770833542836"/>
    <n v="16600"/>
    <n v="0.93651730351976725"/>
  </r>
  <r>
    <s v="REC-0485"/>
    <d v="2025-04-07T00:00:00"/>
    <x v="15"/>
    <x v="0"/>
    <x v="0"/>
    <x v="0"/>
    <x v="0"/>
    <x v="0"/>
    <n v="33"/>
    <n v="39"/>
    <n v="0.9262437029980416"/>
    <n v="0.99320385558807001"/>
    <n v="0.95141656893184168"/>
    <n v="24470"/>
    <n v="1.043552090601362"/>
  </r>
  <r>
    <s v="REC-0486"/>
    <d v="2025-04-07T00:00:00"/>
    <x v="15"/>
    <x v="1"/>
    <x v="1"/>
    <x v="0"/>
    <x v="0"/>
    <x v="1"/>
    <n v="30"/>
    <n v="31"/>
    <n v="0.91616533966334435"/>
    <n v="0.97389244131393926"/>
    <n v="0.95264291141024326"/>
    <n v="15360"/>
    <n v="0.97898711672830907"/>
  </r>
  <r>
    <s v="REC-0487"/>
    <d v="2025-04-07T00:00:00"/>
    <x v="15"/>
    <x v="3"/>
    <x v="3"/>
    <x v="2"/>
    <x v="2"/>
    <x v="0"/>
    <n v="44"/>
    <n v="45"/>
    <n v="0.96637048425786343"/>
    <n v="0.95438720577243374"/>
    <n v="0.8815207881323448"/>
    <n v="21760"/>
    <n v="0.97014576864770907"/>
  </r>
  <r>
    <s v="REC-0488"/>
    <d v="2025-04-09T00:00:00"/>
    <x v="15"/>
    <x v="5"/>
    <x v="5"/>
    <x v="1"/>
    <x v="1"/>
    <x v="2"/>
    <n v="43"/>
    <n v="50"/>
    <n v="0.9577512415305014"/>
    <n v="0.96808669519932122"/>
    <n v="0.94413338822631099"/>
    <n v="19270"/>
    <n v="1.0385937713775533"/>
  </r>
  <r>
    <s v="REC-0489"/>
    <d v="2025-04-10T00:00:00"/>
    <x v="15"/>
    <x v="1"/>
    <x v="1"/>
    <x v="0"/>
    <x v="0"/>
    <x v="1"/>
    <n v="33"/>
    <n v="33"/>
    <n v="0.93119358542604413"/>
    <n v="0.95520261304975562"/>
    <n v="0.91250570221933869"/>
    <n v="20610"/>
    <n v="0.95857992875784215"/>
  </r>
  <r>
    <s v="REC-0490"/>
    <d v="2025-04-11T00:00:00"/>
    <x v="15"/>
    <x v="0"/>
    <x v="0"/>
    <x v="0"/>
    <x v="0"/>
    <x v="0"/>
    <n v="54"/>
    <n v="66"/>
    <n v="0.90678513206476308"/>
    <n v="0.97060113770169198"/>
    <n v="0.96353546788784117"/>
    <n v="42720"/>
    <n v="1.0449935472490128"/>
  </r>
  <r>
    <s v="REC-0491"/>
    <d v="2025-04-11T00:00:00"/>
    <x v="15"/>
    <x v="5"/>
    <x v="5"/>
    <x v="1"/>
    <x v="1"/>
    <x v="2"/>
    <n v="28"/>
    <n v="32"/>
    <n v="0.95104056182976593"/>
    <n v="1"/>
    <n v="0.91839932468325924"/>
    <n v="14880"/>
    <n v="1.0285828625369504"/>
  </r>
  <r>
    <s v="REC-0492"/>
    <d v="2025-04-11T00:00:00"/>
    <x v="15"/>
    <x v="5"/>
    <x v="5"/>
    <x v="1"/>
    <x v="1"/>
    <x v="2"/>
    <n v="51"/>
    <n v="50"/>
    <n v="0.94852137432575967"/>
    <n v="0.95492113910961129"/>
    <n v="0.93665483081766887"/>
    <n v="19040"/>
    <n v="0.95985634335651349"/>
  </r>
  <r>
    <s v="REC-0493"/>
    <d v="2025-04-11T00:00:00"/>
    <x v="15"/>
    <x v="5"/>
    <x v="5"/>
    <x v="1"/>
    <x v="1"/>
    <x v="2"/>
    <n v="37"/>
    <n v="40"/>
    <n v="0.96037698736260968"/>
    <n v="0.99416857634587352"/>
    <n v="0.8693033528715014"/>
    <n v="18480"/>
    <n v="0.99551263629926623"/>
  </r>
  <r>
    <s v="REC-0494"/>
    <d v="2025-04-11T00:00:00"/>
    <x v="15"/>
    <x v="4"/>
    <x v="4"/>
    <x v="2"/>
    <x v="2"/>
    <x v="1"/>
    <n v="45"/>
    <n v="51"/>
    <n v="0.96006842792844127"/>
    <n v="0.98036212157342184"/>
    <n v="0.995"/>
    <n v="23610"/>
    <n v="1.039404758551457"/>
  </r>
  <r>
    <s v="REC-0495"/>
    <d v="2025-04-14T00:00:00"/>
    <x v="15"/>
    <x v="0"/>
    <x v="0"/>
    <x v="0"/>
    <x v="0"/>
    <x v="0"/>
    <n v="55"/>
    <n v="67"/>
    <n v="0.9454224257799051"/>
    <n v="0.94323251689878007"/>
    <n v="0.90536888663490456"/>
    <n v="34620"/>
    <n v="1.0389142613067741"/>
  </r>
  <r>
    <s v="REC-0496"/>
    <d v="2025-04-14T00:00:00"/>
    <x v="15"/>
    <x v="5"/>
    <x v="5"/>
    <x v="1"/>
    <x v="1"/>
    <x v="2"/>
    <n v="41"/>
    <n v="45"/>
    <n v="0.97259427594683345"/>
    <n v="0.99851153992281494"/>
    <n v="0.89595333392772503"/>
    <n v="20510"/>
    <n v="1.011140357004578"/>
  </r>
  <r>
    <s v="REC-0497"/>
    <d v="2025-04-14T00:00:00"/>
    <x v="15"/>
    <x v="3"/>
    <x v="3"/>
    <x v="2"/>
    <x v="2"/>
    <x v="0"/>
    <n v="38"/>
    <n v="43"/>
    <n v="0.98745194916071444"/>
    <n v="0.93947367785673075"/>
    <n v="0.93081399342729876"/>
    <n v="20790"/>
    <n v="1.0265784166015164"/>
  </r>
  <r>
    <s v="REC-0498"/>
    <d v="2025-04-17T00:00:00"/>
    <x v="15"/>
    <x v="5"/>
    <x v="5"/>
    <x v="1"/>
    <x v="1"/>
    <x v="2"/>
    <n v="48"/>
    <n v="49"/>
    <n v="0.94606461117559471"/>
    <n v="0.98746198053613066"/>
    <n v="0.92504220497399481"/>
    <n v="21910"/>
    <n v="0.97797722420245059"/>
  </r>
  <r>
    <s v="REC-0499"/>
    <d v="2025-04-18T00:00:00"/>
    <x v="15"/>
    <x v="0"/>
    <x v="0"/>
    <x v="0"/>
    <x v="0"/>
    <x v="0"/>
    <n v="52"/>
    <n v="56"/>
    <n v="0.93024394730659876"/>
    <n v="0.97831678293558111"/>
    <n v="0.9343210983764304"/>
    <n v="29200"/>
    <n v="0.99694195471150371"/>
  </r>
  <r>
    <s v="REC-0500"/>
    <d v="2025-04-18T00:00:00"/>
    <x v="15"/>
    <x v="5"/>
    <x v="5"/>
    <x v="1"/>
    <x v="1"/>
    <x v="2"/>
    <n v="38"/>
    <n v="36"/>
    <n v="0.93667208234109678"/>
    <n v="1"/>
    <n v="0.98032793064670665"/>
    <n v="13430"/>
    <n v="0.95918097513566813"/>
  </r>
  <r>
    <s v="REC-0501"/>
    <d v="2025-04-18T00:00:00"/>
    <x v="15"/>
    <x v="3"/>
    <x v="3"/>
    <x v="2"/>
    <x v="2"/>
    <x v="0"/>
    <n v="49"/>
    <n v="49"/>
    <n v="0.9066595269499711"/>
    <n v="0.95056168059254631"/>
    <n v="0.95341639513139331"/>
    <n v="22340"/>
    <n v="0.95993241285265341"/>
  </r>
  <r>
    <s v="REC-0502"/>
    <d v="2025-04-21T00:00:00"/>
    <x v="15"/>
    <x v="0"/>
    <x v="0"/>
    <x v="0"/>
    <x v="0"/>
    <x v="0"/>
    <n v="48"/>
    <n v="55"/>
    <n v="0.90330921669549225"/>
    <n v="0.97659081384741964"/>
    <n v="0.96598760757507007"/>
    <n v="30810"/>
    <n v="1.0238467810993335"/>
  </r>
  <r>
    <s v="REC-0503"/>
    <d v="2025-04-21T00:00:00"/>
    <x v="15"/>
    <x v="2"/>
    <x v="2"/>
    <x v="1"/>
    <x v="1"/>
    <x v="0"/>
    <n v="37"/>
    <n v="38"/>
    <n v="0.93454130877888053"/>
    <n v="0.98334023717308849"/>
    <n v="0.86376419842454044"/>
    <n v="16320"/>
    <n v="0.96470001326640231"/>
  </r>
  <r>
    <s v="REC-0504"/>
    <d v="2025-04-23T00:00:00"/>
    <x v="15"/>
    <x v="3"/>
    <x v="3"/>
    <x v="2"/>
    <x v="2"/>
    <x v="0"/>
    <n v="29"/>
    <n v="32"/>
    <n v="0.95817543261345006"/>
    <n v="0.95989280509730768"/>
    <n v="0.9342446206317323"/>
    <n v="15860"/>
    <n v="1.0117560133891328"/>
  </r>
  <r>
    <s v="REC-0505"/>
    <d v="2025-04-24T00:00:00"/>
    <x v="15"/>
    <x v="3"/>
    <x v="3"/>
    <x v="2"/>
    <x v="2"/>
    <x v="0"/>
    <n v="44"/>
    <n v="44"/>
    <n v="0.96419548229665153"/>
    <n v="0.9854242065836617"/>
    <n v="0.92557055392236742"/>
    <n v="18320"/>
    <n v="0.9739766123461856"/>
  </r>
  <r>
    <s v="REC-0506"/>
    <d v="2025-04-25T00:00:00"/>
    <x v="15"/>
    <x v="5"/>
    <x v="5"/>
    <x v="1"/>
    <x v="1"/>
    <x v="2"/>
    <n v="49"/>
    <n v="56"/>
    <n v="0.96013328500081518"/>
    <n v="0.99538902449502475"/>
    <n v="0.9338716600955258"/>
    <n v="24950"/>
    <n v="1.0332588640864198"/>
  </r>
  <r>
    <s v="REC-0507"/>
    <d v="2025-04-25T00:00:00"/>
    <x v="15"/>
    <x v="3"/>
    <x v="3"/>
    <x v="2"/>
    <x v="2"/>
    <x v="0"/>
    <n v="46"/>
    <n v="46"/>
    <n v="0.9064654368469105"/>
    <n v="0.99122260230217107"/>
    <n v="0.92815726176850466"/>
    <n v="20010"/>
    <n v="0.96093120191075421"/>
  </r>
  <r>
    <s v="REC-0508"/>
    <d v="2025-04-28T00:00:00"/>
    <x v="15"/>
    <x v="0"/>
    <x v="0"/>
    <x v="0"/>
    <x v="0"/>
    <x v="0"/>
    <n v="29"/>
    <n v="32"/>
    <n v="0.95780540238887124"/>
    <n v="0.98699865413317511"/>
    <n v="0.9590793714347664"/>
    <n v="19590"/>
    <n v="1.0206963333489749"/>
  </r>
  <r>
    <s v="REC-0509"/>
    <d v="2025-04-28T00:00:00"/>
    <x v="15"/>
    <x v="2"/>
    <x v="2"/>
    <x v="1"/>
    <x v="1"/>
    <x v="0"/>
    <n v="48"/>
    <n v="47"/>
    <n v="0.83903517255192839"/>
    <n v="0.97250117240437994"/>
    <n v="0.90802894602954876"/>
    <n v="20090"/>
    <n v="0.92890642487121555"/>
  </r>
  <r>
    <s v="REC-0510"/>
    <d v="2025-04-28T00:00:00"/>
    <x v="15"/>
    <x v="5"/>
    <x v="5"/>
    <x v="1"/>
    <x v="1"/>
    <x v="2"/>
    <n v="35"/>
    <n v="36"/>
    <n v="0.95622997126810005"/>
    <n v="0.98887564114793192"/>
    <n v="0.9540064219583444"/>
    <n v="16200"/>
    <n v="0.98961869480945508"/>
  </r>
  <r>
    <s v="REC-0511"/>
    <d v="2025-04-29T00:00:00"/>
    <x v="15"/>
    <x v="0"/>
    <x v="0"/>
    <x v="0"/>
    <x v="0"/>
    <x v="0"/>
    <n v="53"/>
    <n v="64"/>
    <n v="0.91655316958499566"/>
    <n v="0.97366333589235787"/>
    <n v="0.93994962704313545"/>
    <n v="36890"/>
    <n v="1.0431777181887296"/>
  </r>
  <r>
    <s v="REC-0512"/>
    <d v="2025-04-29T00:00:00"/>
    <x v="15"/>
    <x v="0"/>
    <x v="0"/>
    <x v="0"/>
    <x v="0"/>
    <x v="0"/>
    <n v="46"/>
    <n v="51"/>
    <n v="0.94959696098466462"/>
    <n v="1"/>
    <n v="0.92702803719718918"/>
    <n v="30360"/>
    <n v="1.0162831085551693"/>
  </r>
  <r>
    <s v="REC-0513"/>
    <d v="2025-04-29T00:00:00"/>
    <x v="15"/>
    <x v="2"/>
    <x v="2"/>
    <x v="1"/>
    <x v="1"/>
    <x v="0"/>
    <n v="55"/>
    <n v="59"/>
    <n v="0.93157448360600326"/>
    <n v="0.91242884649434364"/>
    <n v="0.90040440878278438"/>
    <n v="22150"/>
    <n v="0.97892973872311839"/>
  </r>
  <r>
    <s v="REC-0514"/>
    <d v="2025-04-29T00:00:00"/>
    <x v="15"/>
    <x v="5"/>
    <x v="5"/>
    <x v="1"/>
    <x v="1"/>
    <x v="2"/>
    <n v="49"/>
    <n v="59"/>
    <n v="0.9924826739750674"/>
    <n v="0.96648246351260581"/>
    <n v="0.92452774549877537"/>
    <n v="24150"/>
    <n v="1.0579985871204127"/>
  </r>
  <r>
    <s v="REC-0515"/>
    <d v="2025-05-01T00:00:00"/>
    <x v="16"/>
    <x v="4"/>
    <x v="4"/>
    <x v="2"/>
    <x v="2"/>
    <x v="1"/>
    <n v="36"/>
    <n v="41"/>
    <n v="0.95945056880645496"/>
    <n v="0.98628442178833675"/>
    <n v="0.94908236099592047"/>
    <n v="18690"/>
    <n v="1.0331773332246039"/>
  </r>
  <r>
    <s v="REC-0516"/>
    <d v="2025-05-02T00:00:00"/>
    <x v="16"/>
    <x v="0"/>
    <x v="0"/>
    <x v="0"/>
    <x v="0"/>
    <x v="0"/>
    <n v="51"/>
    <n v="61"/>
    <n v="0.93021452437730545"/>
    <n v="0.98194673268628185"/>
    <n v="0.92529117527950733"/>
    <n v="37360"/>
    <n v="1.0433352486021898"/>
  </r>
  <r>
    <s v="REC-0517"/>
    <d v="2025-05-02T00:00:00"/>
    <x v="16"/>
    <x v="3"/>
    <x v="3"/>
    <x v="2"/>
    <x v="2"/>
    <x v="0"/>
    <n v="32"/>
    <n v="25"/>
    <n v="0.95342547097006936"/>
    <n v="0.94036806212633461"/>
    <n v="0.96996123672227474"/>
    <n v="12860"/>
    <n v="0.88590382440592252"/>
  </r>
  <r>
    <s v="REC-0518"/>
    <d v="2025-05-02T00:00:00"/>
    <x v="16"/>
    <x v="4"/>
    <x v="4"/>
    <x v="2"/>
    <x v="2"/>
    <x v="1"/>
    <n v="45"/>
    <n v="54"/>
    <n v="0.96719439003646501"/>
    <n v="0.99990452384970085"/>
    <n v="0.93409352930298317"/>
    <n v="25880"/>
    <n v="1.0586029819471681"/>
  </r>
  <r>
    <s v="REC-0519"/>
    <d v="2025-05-05T00:00:00"/>
    <x v="16"/>
    <x v="0"/>
    <x v="0"/>
    <x v="0"/>
    <x v="0"/>
    <x v="0"/>
    <n v="43"/>
    <n v="48"/>
    <n v="0.95689395475117922"/>
    <n v="0.97191839097947508"/>
    <n v="0.92501816316782659"/>
    <n v="24320"/>
    <n v="1.0165265078752581"/>
  </r>
  <r>
    <s v="REC-0520"/>
    <d v="2025-05-05T00:00:00"/>
    <x v="16"/>
    <x v="4"/>
    <x v="4"/>
    <x v="2"/>
    <x v="2"/>
    <x v="1"/>
    <n v="44"/>
    <n v="46"/>
    <n v="0.97615791546551767"/>
    <n v="0.97169757636034504"/>
    <n v="0.96366435886411672"/>
    <n v="21230"/>
    <n v="1.0007088052750728"/>
  </r>
  <r>
    <s v="REC-0521"/>
    <d v="2025-05-06T00:00:00"/>
    <x v="16"/>
    <x v="2"/>
    <x v="2"/>
    <x v="1"/>
    <x v="1"/>
    <x v="0"/>
    <n v="42"/>
    <n v="36"/>
    <n v="0.91705358591937258"/>
    <n v="0.94138807254543933"/>
    <n v="0.89105984279728978"/>
    <n v="14950"/>
    <n v="0.89154071877825991"/>
  </r>
  <r>
    <s v="REC-0522"/>
    <d v="2025-05-06T00:00:00"/>
    <x v="16"/>
    <x v="4"/>
    <x v="4"/>
    <x v="2"/>
    <x v="2"/>
    <x v="1"/>
    <n v="46"/>
    <n v="47"/>
    <n v="0.94659977768633763"/>
    <n v="0.95404729247263986"/>
    <n v="0.99221189867824744"/>
    <n v="24790"/>
    <n v="0.98689507020204303"/>
  </r>
  <r>
    <s v="REC-0523"/>
    <d v="2025-05-08T00:00:00"/>
    <x v="16"/>
    <x v="2"/>
    <x v="2"/>
    <x v="1"/>
    <x v="1"/>
    <x v="0"/>
    <n v="31"/>
    <n v="30"/>
    <n v="0.92705872832531355"/>
    <n v="0.95305466484319468"/>
    <n v="0.8715073855840707"/>
    <n v="12650"/>
    <n v="0.93612113311817025"/>
  </r>
  <r>
    <s v="REC-0524"/>
    <d v="2025-05-08T00:00:00"/>
    <x v="16"/>
    <x v="3"/>
    <x v="3"/>
    <x v="2"/>
    <x v="2"/>
    <x v="0"/>
    <n v="33"/>
    <n v="34"/>
    <n v="0.95777165125456298"/>
    <n v="0.97485332770158406"/>
    <n v="0.96788606714912617"/>
    <n v="16880"/>
    <n v="0.99136933751991574"/>
  </r>
  <r>
    <s v="REC-0525"/>
    <d v="2025-05-09T00:00:00"/>
    <x v="16"/>
    <x v="1"/>
    <x v="1"/>
    <x v="0"/>
    <x v="0"/>
    <x v="1"/>
    <n v="36"/>
    <n v="36"/>
    <n v="0.85489637514604955"/>
    <n v="0.94549308678049604"/>
    <n v="0.94660437204585168"/>
    <n v="17680"/>
    <n v="0.94486893121275717"/>
  </r>
  <r>
    <s v="REC-0526"/>
    <d v="2025-05-09T00:00:00"/>
    <x v="16"/>
    <x v="1"/>
    <x v="1"/>
    <x v="0"/>
    <x v="0"/>
    <x v="1"/>
    <n v="51"/>
    <n v="55"/>
    <n v="0.90719217425111864"/>
    <n v="0.94559843113950914"/>
    <n v="0.99090039250013795"/>
    <n v="27160"/>
    <n v="0.99819043575334154"/>
  </r>
  <r>
    <s v="REC-0527"/>
    <d v="2025-05-09T00:00:00"/>
    <x v="16"/>
    <x v="2"/>
    <x v="2"/>
    <x v="1"/>
    <x v="1"/>
    <x v="0"/>
    <n v="35"/>
    <n v="35"/>
    <n v="0.86676063783686064"/>
    <n v="0.94794238771369488"/>
    <n v="0.90004741231125152"/>
    <n v="12280"/>
    <n v="0.93889100007851967"/>
  </r>
  <r>
    <s v="REC-0528"/>
    <d v="2025-05-09T00:00:00"/>
    <x v="16"/>
    <x v="2"/>
    <x v="2"/>
    <x v="1"/>
    <x v="1"/>
    <x v="0"/>
    <n v="32"/>
    <n v="32"/>
    <n v="0.92569785347679368"/>
    <n v="0.92574482940417413"/>
    <n v="0.87517502492967958"/>
    <n v="12500"/>
    <n v="0.94532119276576054"/>
  </r>
  <r>
    <s v="REC-0529"/>
    <d v="2025-05-09T00:00:00"/>
    <x v="16"/>
    <x v="3"/>
    <x v="3"/>
    <x v="2"/>
    <x v="2"/>
    <x v="0"/>
    <n v="39"/>
    <n v="42"/>
    <n v="0.91713354637318611"/>
    <n v="0.95134123037819973"/>
    <n v="0.95096913689838425"/>
    <n v="18440"/>
    <n v="0.9929476292989341"/>
  </r>
  <r>
    <s v="REC-0530"/>
    <d v="2025-05-09T00:00:00"/>
    <x v="16"/>
    <x v="3"/>
    <x v="3"/>
    <x v="2"/>
    <x v="2"/>
    <x v="0"/>
    <n v="41"/>
    <n v="38"/>
    <n v="0.97888725711982383"/>
    <n v="0.96834429311511705"/>
    <n v="0.94938751109308872"/>
    <n v="16350"/>
    <n v="0.95058266778291445"/>
  </r>
  <r>
    <s v="REC-0531"/>
    <d v="2025-05-09T00:00:00"/>
    <x v="16"/>
    <x v="4"/>
    <x v="4"/>
    <x v="2"/>
    <x v="2"/>
    <x v="1"/>
    <n v="36"/>
    <n v="44"/>
    <n v="0.96017056358697539"/>
    <n v="0.98274674934727246"/>
    <n v="0.94310630737896972"/>
    <n v="19260"/>
    <n v="1.0560759147746288"/>
  </r>
  <r>
    <s v="REC-0532"/>
    <d v="2025-05-13T00:00:00"/>
    <x v="16"/>
    <x v="0"/>
    <x v="0"/>
    <x v="0"/>
    <x v="0"/>
    <x v="0"/>
    <n v="48"/>
    <n v="45"/>
    <n v="0.92951060543902109"/>
    <n v="0.98006665206973786"/>
    <n v="0.92297485748669639"/>
    <n v="23580"/>
    <n v="0.93898262066755522"/>
  </r>
  <r>
    <s v="REC-0533"/>
    <d v="2025-05-13T00:00:00"/>
    <x v="16"/>
    <x v="3"/>
    <x v="3"/>
    <x v="2"/>
    <x v="2"/>
    <x v="0"/>
    <n v="48"/>
    <n v="46"/>
    <n v="0.9682919573098373"/>
    <n v="0.92504076495055032"/>
    <n v="0.91848060814857579"/>
    <n v="22000"/>
    <n v="0.94785855903309035"/>
  </r>
  <r>
    <s v="REC-0534"/>
    <d v="2025-05-13T00:00:00"/>
    <x v="16"/>
    <x v="3"/>
    <x v="3"/>
    <x v="2"/>
    <x v="2"/>
    <x v="0"/>
    <n v="38"/>
    <n v="36"/>
    <n v="0.96171635872373917"/>
    <n v="0.96143102301455485"/>
    <n v="0.96201797729813121"/>
    <n v="14790"/>
    <n v="0.95599470701379685"/>
  </r>
  <r>
    <s v="REC-0535"/>
    <d v="2025-05-14T00:00:00"/>
    <x v="16"/>
    <x v="1"/>
    <x v="1"/>
    <x v="0"/>
    <x v="0"/>
    <x v="1"/>
    <n v="34"/>
    <n v="34"/>
    <n v="0.93784997861787134"/>
    <n v="0.95550905757876248"/>
    <n v="0.98572988319667754"/>
    <n v="20780"/>
    <n v="0.97493482993061775"/>
  </r>
  <r>
    <s v="REC-0536"/>
    <d v="2025-05-14T00:00:00"/>
    <x v="16"/>
    <x v="1"/>
    <x v="1"/>
    <x v="0"/>
    <x v="0"/>
    <x v="1"/>
    <n v="35"/>
    <n v="35"/>
    <n v="0.95175671376505644"/>
    <n v="0.94977959502323472"/>
    <n v="0.9303264180160894"/>
    <n v="21480"/>
    <n v="0.96647140129796716"/>
  </r>
  <r>
    <s v="REC-0537"/>
    <d v="2025-05-16T00:00:00"/>
    <x v="16"/>
    <x v="0"/>
    <x v="0"/>
    <x v="0"/>
    <x v="0"/>
    <x v="0"/>
    <n v="55"/>
    <n v="60"/>
    <n v="0.93185042916766014"/>
    <n v="0.97657096217246486"/>
    <n v="0.91935750334521393"/>
    <n v="38860"/>
    <n v="0.99968338865046391"/>
  </r>
  <r>
    <s v="REC-0538"/>
    <d v="2025-05-16T00:00:00"/>
    <x v="16"/>
    <x v="1"/>
    <x v="1"/>
    <x v="0"/>
    <x v="0"/>
    <x v="1"/>
    <n v="47"/>
    <n v="41"/>
    <n v="0.9561448839807305"/>
    <n v="0.97695427379496202"/>
    <n v="0.95530264484575877"/>
    <n v="22460"/>
    <n v="0.92557606124634462"/>
  </r>
  <r>
    <s v="REC-0539"/>
    <d v="2025-05-16T00:00:00"/>
    <x v="16"/>
    <x v="5"/>
    <x v="5"/>
    <x v="1"/>
    <x v="1"/>
    <x v="2"/>
    <n v="41"/>
    <n v="43"/>
    <n v="0.92633794111191703"/>
    <n v="0.99154460607030803"/>
    <n v="0.95025080603570844"/>
    <n v="19520"/>
    <n v="0.98987853251761837"/>
  </r>
  <r>
    <s v="REC-0540"/>
    <d v="2025-05-22T00:00:00"/>
    <x v="16"/>
    <x v="3"/>
    <x v="3"/>
    <x v="2"/>
    <x v="2"/>
    <x v="0"/>
    <n v="47"/>
    <n v="44"/>
    <n v="0.91409429352418803"/>
    <n v="0.961382358631512"/>
    <n v="0.94236660149169271"/>
    <n v="19730"/>
    <n v="0.93567233258049531"/>
  </r>
  <r>
    <s v="REC-0541"/>
    <d v="2025-05-23T00:00:00"/>
    <x v="16"/>
    <x v="0"/>
    <x v="0"/>
    <x v="0"/>
    <x v="0"/>
    <x v="0"/>
    <n v="42"/>
    <n v="43"/>
    <n v="0.995"/>
    <n v="0.96989805151731179"/>
    <n v="0.92488952605699726"/>
    <n v="24280"/>
    <n v="0.9887364224628058"/>
  </r>
  <r>
    <s v="REC-0542"/>
    <d v="2025-05-23T00:00:00"/>
    <x v="16"/>
    <x v="1"/>
    <x v="1"/>
    <x v="0"/>
    <x v="0"/>
    <x v="1"/>
    <n v="51"/>
    <n v="51"/>
    <n v="0.92816023449823504"/>
    <n v="0.94725425030780341"/>
    <n v="0.94603040574427355"/>
    <n v="28710"/>
    <n v="0.9633342773195841"/>
  </r>
  <r>
    <s v="REC-0543"/>
    <d v="2025-05-23T00:00:00"/>
    <x v="16"/>
    <x v="1"/>
    <x v="1"/>
    <x v="0"/>
    <x v="0"/>
    <x v="1"/>
    <n v="39"/>
    <n v="35"/>
    <n v="0.91631565895575839"/>
    <n v="0.95801271598790827"/>
    <n v="0.93395452130002465"/>
    <n v="17450"/>
    <n v="0.91854608537148974"/>
  </r>
  <r>
    <s v="REC-0544"/>
    <d v="2025-05-23T00:00:00"/>
    <x v="16"/>
    <x v="2"/>
    <x v="2"/>
    <x v="1"/>
    <x v="1"/>
    <x v="0"/>
    <n v="28"/>
    <n v="29"/>
    <n v="0.91600764424623415"/>
    <n v="0.93712068718003749"/>
    <n v="0.8953202311072519"/>
    <n v="11850"/>
    <n v="0.96291977464572898"/>
  </r>
  <r>
    <s v="REC-0545"/>
    <d v="2025-05-26T00:00:00"/>
    <x v="16"/>
    <x v="4"/>
    <x v="4"/>
    <x v="2"/>
    <x v="2"/>
    <x v="1"/>
    <n v="32"/>
    <n v="35"/>
    <n v="0.94879491030078444"/>
    <n v="0.96451114124026782"/>
    <n v="0.93406113351704156"/>
    <n v="18230"/>
    <n v="1.0061876254646445"/>
  </r>
  <r>
    <s v="REC-0546"/>
    <d v="2025-05-28T00:00:00"/>
    <x v="16"/>
    <x v="1"/>
    <x v="1"/>
    <x v="0"/>
    <x v="0"/>
    <x v="1"/>
    <n v="36"/>
    <n v="38"/>
    <n v="0.89020091664021661"/>
    <n v="0.98737579254949703"/>
    <n v="0.91079133366126097"/>
    <n v="22730"/>
    <n v="0.97503708699695324"/>
  </r>
  <r>
    <s v="REC-0547"/>
    <d v="2025-05-29T00:00:00"/>
    <x v="16"/>
    <x v="0"/>
    <x v="0"/>
    <x v="0"/>
    <x v="0"/>
    <x v="0"/>
    <n v="55"/>
    <n v="55"/>
    <n v="0.91852037717730972"/>
    <n v="0.94527751346925559"/>
    <n v="0.96757185553835701"/>
    <n v="31510"/>
    <n v="0.96493609242238731"/>
  </r>
  <r>
    <s v="REC-0548"/>
    <d v="2025-05-30T00:00:00"/>
    <x v="16"/>
    <x v="0"/>
    <x v="0"/>
    <x v="0"/>
    <x v="0"/>
    <x v="0"/>
    <n v="40"/>
    <n v="40"/>
    <n v="0.95940292660936788"/>
    <n v="0.96519478849302953"/>
    <n v="0.91091943261573527"/>
    <n v="22450"/>
    <n v="0.96681383644944352"/>
  </r>
  <r>
    <s v="REC-0549"/>
    <d v="2025-06-02T00:00:00"/>
    <x v="17"/>
    <x v="0"/>
    <x v="0"/>
    <x v="0"/>
    <x v="0"/>
    <x v="0"/>
    <n v="40"/>
    <n v="43"/>
    <n v="0.89115377559308229"/>
    <n v="0.95749543746045584"/>
    <n v="0.91244491817970619"/>
    <n v="25400"/>
    <n v="0.97890174315328016"/>
  </r>
  <r>
    <s v="REC-0550"/>
    <d v="2025-06-03T00:00:00"/>
    <x v="17"/>
    <x v="2"/>
    <x v="2"/>
    <x v="1"/>
    <x v="1"/>
    <x v="0"/>
    <n v="37"/>
    <n v="39"/>
    <n v="0.86310956460189447"/>
    <n v="0.95812178297844031"/>
    <n v="0.87804404240032197"/>
    <n v="13830"/>
    <n v="0.95672608869892573"/>
  </r>
  <r>
    <s v="REC-0551"/>
    <d v="2025-06-04T00:00:00"/>
    <x v="17"/>
    <x v="1"/>
    <x v="1"/>
    <x v="0"/>
    <x v="0"/>
    <x v="1"/>
    <n v="40"/>
    <n v="42"/>
    <n v="0.87890871954191563"/>
    <n v="0.93937904454905241"/>
    <n v="0.92306511306948036"/>
    <n v="20390"/>
    <n v="0.96524705918173292"/>
  </r>
  <r>
    <s v="REC-0552"/>
    <d v="2025-06-06T00:00:00"/>
    <x v="17"/>
    <x v="3"/>
    <x v="3"/>
    <x v="2"/>
    <x v="2"/>
    <x v="0"/>
    <n v="53"/>
    <n v="55"/>
    <n v="0.89575429062638723"/>
    <n v="0.95804050885321435"/>
    <n v="0.93215660945081669"/>
    <n v="24510"/>
    <n v="0.96917031049738378"/>
  </r>
  <r>
    <s v="REC-0553"/>
    <d v="2025-06-06T00:00:00"/>
    <x v="17"/>
    <x v="3"/>
    <x v="3"/>
    <x v="2"/>
    <x v="2"/>
    <x v="0"/>
    <n v="40"/>
    <n v="41"/>
    <n v="0.95322659589221159"/>
    <n v="0.925926956765033"/>
    <n v="0.90031531498632522"/>
    <n v="21060"/>
    <n v="0.9672587554850729"/>
  </r>
  <r>
    <s v="REC-0554"/>
    <d v="2025-06-09T00:00:00"/>
    <x v="17"/>
    <x v="0"/>
    <x v="0"/>
    <x v="0"/>
    <x v="0"/>
    <x v="0"/>
    <n v="53"/>
    <n v="58"/>
    <n v="0.92793566395874583"/>
    <n v="1"/>
    <n v="0.94020106129175651"/>
    <n v="34920"/>
    <n v="1.0077599773046417"/>
  </r>
  <r>
    <s v="REC-0555"/>
    <d v="2025-06-10T00:00:00"/>
    <x v="17"/>
    <x v="1"/>
    <x v="1"/>
    <x v="0"/>
    <x v="0"/>
    <x v="1"/>
    <n v="34"/>
    <n v="35"/>
    <n v="0.90688106560874027"/>
    <n v="0.98493564211712969"/>
    <n v="0.97525091537374431"/>
    <n v="19580"/>
    <n v="0.9812755016768564"/>
  </r>
  <r>
    <s v="REC-0556"/>
    <d v="2025-06-13T00:00:00"/>
    <x v="17"/>
    <x v="1"/>
    <x v="1"/>
    <x v="0"/>
    <x v="0"/>
    <x v="1"/>
    <n v="44"/>
    <n v="43"/>
    <n v="0.890603438931867"/>
    <n v="0.93355174276086028"/>
    <n v="0.96780846948350474"/>
    <n v="23620"/>
    <n v="0.94715440595288769"/>
  </r>
  <r>
    <s v="REC-0557"/>
    <d v="2025-06-13T00:00:00"/>
    <x v="17"/>
    <x v="2"/>
    <x v="2"/>
    <x v="1"/>
    <x v="1"/>
    <x v="0"/>
    <n v="32"/>
    <n v="30"/>
    <n v="0.91672902970671177"/>
    <n v="0.96180045166286832"/>
    <n v="0.88230559119663321"/>
    <n v="13420"/>
    <n v="0.9249134434154348"/>
  </r>
  <r>
    <s v="REC-0558"/>
    <d v="2025-06-13T00:00:00"/>
    <x v="17"/>
    <x v="5"/>
    <x v="5"/>
    <x v="1"/>
    <x v="1"/>
    <x v="2"/>
    <n v="37"/>
    <n v="40"/>
    <n v="0.93707520594786353"/>
    <n v="0.9649455477101051"/>
    <n v="0.89436758383948423"/>
    <n v="15170"/>
    <n v="0.99031658284381086"/>
  </r>
  <r>
    <s v="REC-0559"/>
    <d v="2025-06-13T00:00:00"/>
    <x v="17"/>
    <x v="5"/>
    <x v="5"/>
    <x v="1"/>
    <x v="1"/>
    <x v="2"/>
    <n v="42"/>
    <n v="48"/>
    <n v="0.995"/>
    <n v="1"/>
    <n v="0.96810062296161892"/>
    <n v="19380"/>
    <n v="1.0495129817351809"/>
  </r>
  <r>
    <s v="REC-0560"/>
    <d v="2025-06-17T00:00:00"/>
    <x v="17"/>
    <x v="5"/>
    <x v="5"/>
    <x v="1"/>
    <x v="1"/>
    <x v="2"/>
    <n v="43"/>
    <n v="44"/>
    <n v="0.9384193531115903"/>
    <n v="0.9930507599803623"/>
    <n v="0.93036241123792973"/>
    <n v="17420"/>
    <n v="0.97893726010393334"/>
  </r>
  <r>
    <s v="REC-0561"/>
    <d v="2025-06-17T00:00:00"/>
    <x v="17"/>
    <x v="5"/>
    <x v="5"/>
    <x v="1"/>
    <x v="1"/>
    <x v="2"/>
    <n v="42"/>
    <n v="43"/>
    <n v="0.96093873774779615"/>
    <n v="1"/>
    <n v="0.92629974931219117"/>
    <n v="18950"/>
    <n v="0.98501844382319681"/>
  </r>
  <r>
    <s v="REC-0562"/>
    <d v="2025-06-18T00:00:00"/>
    <x v="17"/>
    <x v="5"/>
    <x v="5"/>
    <x v="1"/>
    <x v="1"/>
    <x v="2"/>
    <n v="31"/>
    <n v="38"/>
    <n v="0.95424222421908234"/>
    <n v="0.97068474917579273"/>
    <n v="0.88653305919971415"/>
    <n v="14280"/>
    <n v="1.0414698802710822"/>
  </r>
  <r>
    <s v="REC-0563"/>
    <d v="2025-06-18T00:00:00"/>
    <x v="17"/>
    <x v="4"/>
    <x v="4"/>
    <x v="2"/>
    <x v="2"/>
    <x v="1"/>
    <n v="43"/>
    <n v="49"/>
    <n v="0.94944517509967463"/>
    <n v="0.9602125197304805"/>
    <n v="0.97499034780770943"/>
    <n v="20640"/>
    <n v="1.0322051947844049"/>
  </r>
  <r>
    <s v="REC-0564"/>
    <d v="2025-06-19T00:00:00"/>
    <x v="17"/>
    <x v="3"/>
    <x v="3"/>
    <x v="2"/>
    <x v="2"/>
    <x v="0"/>
    <n v="42"/>
    <n v="48"/>
    <n v="0.91417833280043215"/>
    <n v="0.93118796907165591"/>
    <n v="0.92989345333898743"/>
    <n v="20560"/>
    <n v="1.0113443263715109"/>
  </r>
  <r>
    <s v="REC-0565"/>
    <d v="2025-06-20T00:00:00"/>
    <x v="17"/>
    <x v="0"/>
    <x v="0"/>
    <x v="0"/>
    <x v="0"/>
    <x v="0"/>
    <n v="52"/>
    <n v="56"/>
    <n v="0.902684578213375"/>
    <n v="0.97731485898908688"/>
    <n v="0.995"/>
    <n v="35280"/>
    <n v="1.0020376041709376"/>
  </r>
  <r>
    <s v="REC-0566"/>
    <d v="2025-06-20T00:00:00"/>
    <x v="17"/>
    <x v="2"/>
    <x v="2"/>
    <x v="1"/>
    <x v="1"/>
    <x v="0"/>
    <n v="48"/>
    <n v="45"/>
    <n v="0.86030451196085489"/>
    <n v="0.92560723562030478"/>
    <n v="0.92427724320648985"/>
    <n v="16650"/>
    <n v="0.91377266197455742"/>
  </r>
  <r>
    <s v="REC-0567"/>
    <d v="2025-06-20T00:00:00"/>
    <x v="17"/>
    <x v="2"/>
    <x v="2"/>
    <x v="1"/>
    <x v="1"/>
    <x v="0"/>
    <n v="43"/>
    <n v="43"/>
    <n v="0.89415142926375646"/>
    <n v="0.93563646095735487"/>
    <n v="0.88942958382903303"/>
    <n v="18550"/>
    <n v="0.94176924322534905"/>
  </r>
  <r>
    <s v="REC-0568"/>
    <d v="2025-06-20T00:00:00"/>
    <x v="17"/>
    <x v="2"/>
    <x v="2"/>
    <x v="1"/>
    <x v="1"/>
    <x v="0"/>
    <n v="31"/>
    <n v="29"/>
    <n v="0.8813711847961665"/>
    <n v="0.94787608045366367"/>
    <n v="0.86967805781519059"/>
    <n v="10110"/>
    <n v="0.9106533682172262"/>
  </r>
  <r>
    <s v="REC-0569"/>
    <d v="2025-06-20T00:00:00"/>
    <x v="17"/>
    <x v="5"/>
    <x v="5"/>
    <x v="1"/>
    <x v="1"/>
    <x v="2"/>
    <n v="38"/>
    <n v="46"/>
    <n v="0.97836316353487063"/>
    <n v="0.98029751684448041"/>
    <n v="0.90838872264520576"/>
    <n v="19010"/>
    <n v="1.053313162939431"/>
  </r>
  <r>
    <s v="REC-0570"/>
    <d v="2025-06-24T00:00:00"/>
    <x v="17"/>
    <x v="0"/>
    <x v="0"/>
    <x v="0"/>
    <x v="0"/>
    <x v="0"/>
    <n v="41"/>
    <n v="50"/>
    <n v="0.93308442781606793"/>
    <n v="0.97310987874185995"/>
    <n v="0.91602048901034572"/>
    <n v="26850"/>
    <n v="1.0424416865673651"/>
  </r>
  <r>
    <s v="REC-0571"/>
    <d v="2025-06-27T00:00:00"/>
    <x v="17"/>
    <x v="1"/>
    <x v="1"/>
    <x v="0"/>
    <x v="0"/>
    <x v="1"/>
    <n v="44"/>
    <n v="47"/>
    <n v="0.96339075543293806"/>
    <n v="0.93308420645741286"/>
    <n v="0.995"/>
    <n v="27170"/>
    <n v="1.0070830470995737"/>
  </r>
  <r>
    <s v="REC-0572"/>
    <d v="2025-06-27T00:00:00"/>
    <x v="17"/>
    <x v="2"/>
    <x v="2"/>
    <x v="1"/>
    <x v="1"/>
    <x v="0"/>
    <n v="35"/>
    <n v="31"/>
    <n v="0.92958953252759213"/>
    <n v="0.94004727858744164"/>
    <n v="0.89240401450357054"/>
    <n v="13640"/>
    <n v="0.9061709921064427"/>
  </r>
  <r>
    <s v="REC-0573"/>
    <d v="2025-06-27T00:00:00"/>
    <x v="17"/>
    <x v="5"/>
    <x v="5"/>
    <x v="1"/>
    <x v="1"/>
    <x v="2"/>
    <n v="37"/>
    <n v="37"/>
    <n v="0.95990925589692155"/>
    <n v="0.96717587334336463"/>
    <n v="0.88321967856325634"/>
    <n v="17620"/>
    <n v="0.96169763068838632"/>
  </r>
  <r>
    <s v="REC-0574"/>
    <d v="2025-06-27T00:00:00"/>
    <x v="17"/>
    <x v="4"/>
    <x v="4"/>
    <x v="2"/>
    <x v="2"/>
    <x v="1"/>
    <n v="32"/>
    <n v="31"/>
    <n v="0.97725382554663587"/>
    <n v="0.96086827419611565"/>
    <n v="0.9623222366578722"/>
    <n v="16150"/>
    <n v="0.9684081448476507"/>
  </r>
  <r>
    <s v="REC-0575"/>
    <d v="2025-06-30T00:00:00"/>
    <x v="17"/>
    <x v="0"/>
    <x v="0"/>
    <x v="0"/>
    <x v="0"/>
    <x v="0"/>
    <n v="34"/>
    <n v="36"/>
    <n v="0.88204945470752127"/>
    <n v="0.99356536733096057"/>
    <n v="0.9015004277737283"/>
    <n v="20750"/>
    <n v="0.97337666609597595"/>
  </r>
  <r>
    <s v="REC-0576"/>
    <d v="2025-07-02T00:00:00"/>
    <x v="18"/>
    <x v="5"/>
    <x v="5"/>
    <x v="1"/>
    <x v="1"/>
    <x v="2"/>
    <n v="39"/>
    <n v="43"/>
    <n v="0.94905711652380431"/>
    <n v="0.97494016623731983"/>
    <n v="0.93978149181837478"/>
    <n v="16310"/>
    <n v="1.0124872434558652"/>
  </r>
  <r>
    <s v="REC-0577"/>
    <d v="2025-07-03T00:00:00"/>
    <x v="18"/>
    <x v="1"/>
    <x v="1"/>
    <x v="0"/>
    <x v="0"/>
    <x v="1"/>
    <n v="42"/>
    <n v="43"/>
    <n v="0.93509804342263336"/>
    <n v="0.92433459602175916"/>
    <n v="0.96279823772201734"/>
    <n v="21160"/>
    <n v="0.97450815732713525"/>
  </r>
  <r>
    <s v="REC-0578"/>
    <d v="2025-07-04T00:00:00"/>
    <x v="18"/>
    <x v="0"/>
    <x v="0"/>
    <x v="0"/>
    <x v="0"/>
    <x v="0"/>
    <n v="43"/>
    <n v="45"/>
    <n v="0.93115130198355778"/>
    <n v="0.94039694196267221"/>
    <n v="0.96557554019499159"/>
    <n v="26500"/>
    <n v="0.98556712599207941"/>
  </r>
  <r>
    <s v="REC-0579"/>
    <d v="2025-07-04T00:00:00"/>
    <x v="18"/>
    <x v="0"/>
    <x v="0"/>
    <x v="0"/>
    <x v="0"/>
    <x v="0"/>
    <n v="54"/>
    <n v="59"/>
    <n v="0.92455748049033881"/>
    <n v="0.95360667238407049"/>
    <n v="0.9392443813487098"/>
    <n v="33760"/>
    <n v="0.9990662842869743"/>
  </r>
  <r>
    <s v="REC-0580"/>
    <d v="2025-07-04T00:00:00"/>
    <x v="18"/>
    <x v="2"/>
    <x v="2"/>
    <x v="1"/>
    <x v="1"/>
    <x v="0"/>
    <n v="52"/>
    <n v="57"/>
    <n v="0.87661077539859034"/>
    <n v="0.93305430233045106"/>
    <n v="0.87178865034151509"/>
    <n v="20340"/>
    <n v="0.97193010772905675"/>
  </r>
  <r>
    <s v="REC-0581"/>
    <d v="2025-07-04T00:00:00"/>
    <x v="18"/>
    <x v="2"/>
    <x v="2"/>
    <x v="1"/>
    <x v="1"/>
    <x v="0"/>
    <n v="34"/>
    <n v="32"/>
    <n v="0.85959354936172994"/>
    <n v="0.98636632612479225"/>
    <n v="0.95605348831596748"/>
    <n v="11810"/>
    <n v="0.93053462215763894"/>
  </r>
  <r>
    <s v="REC-0582"/>
    <d v="2025-07-04T00:00:00"/>
    <x v="18"/>
    <x v="5"/>
    <x v="5"/>
    <x v="1"/>
    <x v="1"/>
    <x v="2"/>
    <n v="43"/>
    <n v="41"/>
    <n v="0.96569216297122362"/>
    <n v="1"/>
    <n v="0.89184733983496156"/>
    <n v="17810"/>
    <n v="0.95118785754700763"/>
  </r>
  <r>
    <s v="REC-0583"/>
    <d v="2025-07-04T00:00:00"/>
    <x v="18"/>
    <x v="5"/>
    <x v="5"/>
    <x v="1"/>
    <x v="1"/>
    <x v="2"/>
    <n v="54"/>
    <n v="66"/>
    <n v="0.95327055670625171"/>
    <n v="0.97169849659003715"/>
    <n v="0.89414764067722718"/>
    <n v="27270"/>
    <n v="1.0429019418005139"/>
  </r>
  <r>
    <s v="REC-0584"/>
    <d v="2025-07-04T00:00:00"/>
    <x v="18"/>
    <x v="4"/>
    <x v="4"/>
    <x v="2"/>
    <x v="2"/>
    <x v="1"/>
    <n v="33"/>
    <n v="34"/>
    <n v="0.995"/>
    <n v="0.97652678529612313"/>
    <n v="0.99064967470940046"/>
    <n v="18110"/>
    <n v="1.0054801648575107"/>
  </r>
  <r>
    <s v="REC-0585"/>
    <d v="2025-07-07T00:00:00"/>
    <x v="18"/>
    <x v="2"/>
    <x v="2"/>
    <x v="1"/>
    <x v="1"/>
    <x v="0"/>
    <n v="35"/>
    <n v="40"/>
    <n v="0.90413156838025077"/>
    <n v="0.95855311609414562"/>
    <n v="0.8618108266014104"/>
    <n v="16250"/>
    <n v="0.9993208819723236"/>
  </r>
  <r>
    <s v="REC-0586"/>
    <d v="2025-07-07T00:00:00"/>
    <x v="18"/>
    <x v="4"/>
    <x v="4"/>
    <x v="2"/>
    <x v="2"/>
    <x v="1"/>
    <n v="51"/>
    <n v="54"/>
    <n v="0.995"/>
    <n v="0.98763862848580808"/>
    <n v="0.94646528173300992"/>
    <n v="28380"/>
    <n v="1.0097182623841792"/>
  </r>
  <r>
    <s v="REC-0587"/>
    <d v="2025-07-09T00:00:00"/>
    <x v="18"/>
    <x v="3"/>
    <x v="3"/>
    <x v="2"/>
    <x v="2"/>
    <x v="0"/>
    <n v="42"/>
    <n v="39"/>
    <n v="0.9412071620313005"/>
    <n v="0.94045667214176576"/>
    <n v="0.9746398270129103"/>
    <n v="18650"/>
    <n v="0.94272682816024356"/>
  </r>
  <r>
    <s v="REC-0588"/>
    <d v="2025-07-11T00:00:00"/>
    <x v="18"/>
    <x v="2"/>
    <x v="2"/>
    <x v="1"/>
    <x v="1"/>
    <x v="0"/>
    <n v="43"/>
    <n v="44"/>
    <n v="0.95088079354954747"/>
    <n v="0.99511104675740969"/>
    <n v="0.88588086442959368"/>
    <n v="17780"/>
    <n v="0.97346535386831246"/>
  </r>
  <r>
    <s v="REC-0589"/>
    <d v="2025-07-11T00:00:00"/>
    <x v="18"/>
    <x v="5"/>
    <x v="5"/>
    <x v="1"/>
    <x v="1"/>
    <x v="2"/>
    <n v="33"/>
    <n v="33"/>
    <n v="0.92412877965147777"/>
    <n v="0.99916400245013082"/>
    <n v="0.91125624463641741"/>
    <n v="14650"/>
    <n v="0.96315804420767259"/>
  </r>
  <r>
    <s v="REC-0590"/>
    <d v="2025-07-14T00:00:00"/>
    <x v="18"/>
    <x v="0"/>
    <x v="0"/>
    <x v="0"/>
    <x v="0"/>
    <x v="0"/>
    <n v="30"/>
    <n v="31"/>
    <n v="0.98197560794224792"/>
    <n v="0.98358138356347113"/>
    <n v="0.91588144367778135"/>
    <n v="17520"/>
    <n v="0.98954073158897227"/>
  </r>
  <r>
    <s v="REC-0591"/>
    <d v="2025-07-14T00:00:00"/>
    <x v="18"/>
    <x v="1"/>
    <x v="1"/>
    <x v="0"/>
    <x v="0"/>
    <x v="1"/>
    <n v="46"/>
    <n v="51"/>
    <n v="0.95865306164781783"/>
    <n v="0.96909264407945861"/>
    <n v="0.89442734096977128"/>
    <n v="30350"/>
    <n v="1.0073908910873928"/>
  </r>
  <r>
    <s v="REC-0592"/>
    <d v="2025-07-15T00:00:00"/>
    <x v="18"/>
    <x v="2"/>
    <x v="2"/>
    <x v="1"/>
    <x v="1"/>
    <x v="0"/>
    <n v="39"/>
    <n v="39"/>
    <n v="0.95078095086154846"/>
    <n v="0.93740180851930621"/>
    <n v="0.89788232606861074"/>
    <n v="16550"/>
    <n v="0.95788197420700527"/>
  </r>
  <r>
    <s v="REC-0593"/>
    <d v="2025-07-16T00:00:00"/>
    <x v="18"/>
    <x v="0"/>
    <x v="0"/>
    <x v="0"/>
    <x v="0"/>
    <x v="0"/>
    <n v="54"/>
    <n v="56"/>
    <n v="0.94336375553383511"/>
    <n v="0.97770665631429576"/>
    <n v="0.93027719156229705"/>
    <n v="35030"/>
    <n v="0.98336719045787735"/>
  </r>
  <r>
    <s v="REC-0594"/>
    <d v="2025-07-18T00:00:00"/>
    <x v="18"/>
    <x v="0"/>
    <x v="0"/>
    <x v="0"/>
    <x v="0"/>
    <x v="0"/>
    <n v="50"/>
    <n v="54"/>
    <n v="0.93060949359204226"/>
    <n v="0.96304357696320719"/>
    <n v="0.93264484733720454"/>
    <n v="33690"/>
    <n v="0.99563787940993265"/>
  </r>
  <r>
    <s v="REC-0595"/>
    <d v="2025-07-18T00:00:00"/>
    <x v="18"/>
    <x v="1"/>
    <x v="1"/>
    <x v="0"/>
    <x v="0"/>
    <x v="1"/>
    <n v="41"/>
    <n v="49"/>
    <n v="0.96598456994374549"/>
    <n v="0.97710291050348597"/>
    <n v="0.9343741408671159"/>
    <n v="24510"/>
    <n v="1.0529851877226872"/>
  </r>
  <r>
    <s v="REC-0596"/>
    <d v="2025-07-18T00:00:00"/>
    <x v="18"/>
    <x v="1"/>
    <x v="1"/>
    <x v="0"/>
    <x v="0"/>
    <x v="1"/>
    <n v="53"/>
    <n v="59"/>
    <n v="0.90175674772341852"/>
    <n v="0.94612970502228566"/>
    <n v="0.96154548917851035"/>
    <n v="31880"/>
    <n v="1.0049507593878242"/>
  </r>
  <r>
    <s v="REC-0597"/>
    <d v="2025-07-18T00:00:00"/>
    <x v="18"/>
    <x v="2"/>
    <x v="2"/>
    <x v="1"/>
    <x v="1"/>
    <x v="0"/>
    <n v="32"/>
    <n v="30"/>
    <n v="0.90601883007787809"/>
    <n v="0.92238491128926559"/>
    <n v="0.93719266151190439"/>
    <n v="13480"/>
    <n v="0.92730097651524024"/>
  </r>
  <r>
    <s v="REC-0598"/>
    <d v="2025-07-18T00:00:00"/>
    <x v="18"/>
    <x v="4"/>
    <x v="4"/>
    <x v="2"/>
    <x v="2"/>
    <x v="1"/>
    <n v="46"/>
    <n v="47"/>
    <n v="0.95049828439250916"/>
    <n v="0.9892679382206736"/>
    <n v="0.98975702761876927"/>
    <n v="22010"/>
    <n v="0.99266181952889532"/>
  </r>
  <r>
    <s v="REC-0599"/>
    <d v="2025-07-21T00:00:00"/>
    <x v="18"/>
    <x v="0"/>
    <x v="0"/>
    <x v="0"/>
    <x v="0"/>
    <x v="0"/>
    <n v="30"/>
    <n v="29"/>
    <n v="0.91786014406275152"/>
    <n v="0.97185869944325409"/>
    <n v="0.92678575977277167"/>
    <n v="16270"/>
    <n v="0.94726765955339709"/>
  </r>
  <r>
    <s v="REC-0600"/>
    <d v="2025-07-23T00:00:00"/>
    <x v="18"/>
    <x v="2"/>
    <x v="2"/>
    <x v="1"/>
    <x v="1"/>
    <x v="0"/>
    <n v="28"/>
    <n v="25"/>
    <n v="0.90122625136580403"/>
    <n v="0.95099800702263315"/>
    <n v="0.91753629130678993"/>
    <n v="10120"/>
    <n v="0.90860637929906107"/>
  </r>
  <r>
    <s v="REC-0601"/>
    <d v="2025-07-25T00:00:00"/>
    <x v="18"/>
    <x v="5"/>
    <x v="5"/>
    <x v="1"/>
    <x v="1"/>
    <x v="2"/>
    <n v="53"/>
    <n v="55"/>
    <n v="0.93266302463568984"/>
    <n v="0.95982665801861566"/>
    <n v="0.90494478417392432"/>
    <n v="25600"/>
    <n v="0.97322305131914122"/>
  </r>
  <r>
    <s v="REC-0602"/>
    <d v="2025-07-25T00:00:00"/>
    <x v="18"/>
    <x v="3"/>
    <x v="3"/>
    <x v="2"/>
    <x v="2"/>
    <x v="0"/>
    <n v="51"/>
    <n v="44"/>
    <n v="0.91814608882532767"/>
    <n v="0.96241013086520055"/>
    <n v="0.90478827316463084"/>
    <n v="21240"/>
    <n v="0.89995373568472448"/>
  </r>
  <r>
    <s v="REC-0603"/>
    <d v="2025-07-25T00:00:00"/>
    <x v="18"/>
    <x v="4"/>
    <x v="4"/>
    <x v="2"/>
    <x v="2"/>
    <x v="1"/>
    <n v="30"/>
    <n v="31"/>
    <n v="0.9624804728602453"/>
    <n v="0.99602169340298397"/>
    <n v="0.99173277868685727"/>
    <n v="14050"/>
    <n v="1.0017032612962138"/>
  </r>
  <r>
    <s v="REC-0604"/>
    <d v="2025-07-29T00:00:00"/>
    <x v="18"/>
    <x v="2"/>
    <x v="2"/>
    <x v="1"/>
    <x v="1"/>
    <x v="0"/>
    <n v="50"/>
    <n v="51"/>
    <n v="0.90767484089968631"/>
    <n v="0.94032994862458541"/>
    <n v="0.91167976219931646"/>
    <n v="20580"/>
    <n v="0.95830415495847276"/>
  </r>
  <r>
    <s v="REC-0605"/>
    <d v="2025-07-30T00:00:00"/>
    <x v="18"/>
    <x v="2"/>
    <x v="2"/>
    <x v="1"/>
    <x v="1"/>
    <x v="0"/>
    <n v="45"/>
    <n v="44"/>
    <n v="0.94446158006369396"/>
    <n v="0.96232517769599513"/>
    <n v="0.88074721865872585"/>
    <n v="19820"/>
    <n v="0.94772472651317896"/>
  </r>
  <r>
    <s v="REC-0606"/>
    <d v="2025-07-30T00:00:00"/>
    <x v="18"/>
    <x v="5"/>
    <x v="5"/>
    <x v="1"/>
    <x v="1"/>
    <x v="2"/>
    <n v="48"/>
    <n v="48"/>
    <n v="0.93028359999130272"/>
    <n v="0.98078803599150011"/>
    <n v="0.84988166168291535"/>
    <n v="19830"/>
    <n v="0.94966543773313372"/>
  </r>
  <r>
    <s v="REC-0607"/>
    <d v="2025-07-31T00:00:00"/>
    <x v="18"/>
    <x v="3"/>
    <x v="3"/>
    <x v="2"/>
    <x v="2"/>
    <x v="0"/>
    <n v="32"/>
    <n v="30"/>
    <n v="0.92672940429606199"/>
    <n v="0.9970801192546167"/>
    <n v="0.9358005550993409"/>
    <n v="13830"/>
    <n v="0.94340447998207622"/>
  </r>
  <r>
    <s v="REC-0608"/>
    <d v="2025-07-31T00:00:00"/>
    <x v="18"/>
    <x v="4"/>
    <x v="4"/>
    <x v="2"/>
    <x v="2"/>
    <x v="1"/>
    <n v="53"/>
    <n v="56"/>
    <n v="0.995"/>
    <n v="0.95652400489269906"/>
    <n v="0.97812098162382122"/>
    <n v="27180"/>
    <n v="1.0104943064926313"/>
  </r>
  <r>
    <s v="REC-0609"/>
    <d v="2025-08-01T00:00:00"/>
    <x v="19"/>
    <x v="0"/>
    <x v="0"/>
    <x v="0"/>
    <x v="0"/>
    <x v="0"/>
    <n v="39"/>
    <n v="44"/>
    <n v="0.88396606381000065"/>
    <n v="0.97763374815796777"/>
    <n v="0.95041330309427952"/>
    <n v="27070"/>
    <n v="1.0090012900771026"/>
  </r>
  <r>
    <s v="REC-0610"/>
    <d v="2025-08-01T00:00:00"/>
    <x v="19"/>
    <x v="1"/>
    <x v="1"/>
    <x v="0"/>
    <x v="0"/>
    <x v="1"/>
    <n v="43"/>
    <n v="41"/>
    <n v="0.9792515712926011"/>
    <n v="0.95415294753907076"/>
    <n v="0.92993033563662642"/>
    <n v="23130"/>
    <n v="0.95531725091854547"/>
  </r>
  <r>
    <s v="REC-0611"/>
    <d v="2025-08-01T00:00:00"/>
    <x v="19"/>
    <x v="1"/>
    <x v="1"/>
    <x v="0"/>
    <x v="0"/>
    <x v="1"/>
    <n v="33"/>
    <n v="31"/>
    <n v="0.95205973172517877"/>
    <n v="0.96856889498079501"/>
    <n v="0.94569847442347155"/>
    <n v="16400"/>
    <n v="0.94819753782068406"/>
  </r>
  <r>
    <s v="REC-0612"/>
    <d v="2025-08-04T00:00:00"/>
    <x v="19"/>
    <x v="0"/>
    <x v="0"/>
    <x v="0"/>
    <x v="0"/>
    <x v="0"/>
    <n v="32"/>
    <n v="37"/>
    <n v="0.96779954794034462"/>
    <n v="0.96741566886733532"/>
    <n v="0.91841720290700779"/>
    <n v="20290"/>
    <n v="1.0332456778965879"/>
  </r>
  <r>
    <s v="REC-0613"/>
    <d v="2025-08-04T00:00:00"/>
    <x v="19"/>
    <x v="1"/>
    <x v="1"/>
    <x v="0"/>
    <x v="0"/>
    <x v="1"/>
    <n v="29"/>
    <n v="29"/>
    <n v="0.94290484633132476"/>
    <n v="0.96893758476129843"/>
    <n v="0.91538343095042507"/>
    <n v="16700"/>
    <n v="0.96414353548711107"/>
  </r>
  <r>
    <s v="REC-0614"/>
    <d v="2025-08-05T00:00:00"/>
    <x v="19"/>
    <x v="2"/>
    <x v="2"/>
    <x v="1"/>
    <x v="1"/>
    <x v="0"/>
    <n v="37"/>
    <n v="32"/>
    <n v="0.91347998275430775"/>
    <n v="0.94391009152288707"/>
    <n v="0.91583498640341077"/>
    <n v="12010"/>
    <n v="0.89906945264363824"/>
  </r>
  <r>
    <s v="REC-0615"/>
    <d v="2025-08-05T00:00:00"/>
    <x v="19"/>
    <x v="3"/>
    <x v="3"/>
    <x v="2"/>
    <x v="2"/>
    <x v="0"/>
    <n v="28"/>
    <n v="29"/>
    <n v="0.97824791466795924"/>
    <n v="0.96188949517341893"/>
    <n v="0.94886037066497286"/>
    <n v="11800"/>
    <n v="0.99290319136171157"/>
  </r>
  <r>
    <s v="REC-0616"/>
    <d v="2025-08-08T00:00:00"/>
    <x v="19"/>
    <x v="1"/>
    <x v="1"/>
    <x v="0"/>
    <x v="0"/>
    <x v="1"/>
    <n v="35"/>
    <n v="33"/>
    <n v="0.92451284657030408"/>
    <n v="0.98333981981205365"/>
    <n v="0.92548573437032466"/>
    <n v="18300"/>
    <n v="0.94086918863130609"/>
  </r>
  <r>
    <s v="REC-0617"/>
    <d v="2025-08-08T00:00:00"/>
    <x v="19"/>
    <x v="1"/>
    <x v="1"/>
    <x v="0"/>
    <x v="0"/>
    <x v="1"/>
    <n v="46"/>
    <n v="48"/>
    <n v="0.95288634906128811"/>
    <n v="0.98275129147288154"/>
    <n v="0.95857761051769452"/>
    <n v="23530"/>
    <n v="0.99474110743761934"/>
  </r>
  <r>
    <s v="REC-0618"/>
    <d v="2025-08-08T00:00:00"/>
    <x v="19"/>
    <x v="5"/>
    <x v="5"/>
    <x v="1"/>
    <x v="1"/>
    <x v="2"/>
    <n v="50"/>
    <n v="52"/>
    <n v="0.95611982422504205"/>
    <n v="0.97598123278168014"/>
    <n v="0.93425030156502842"/>
    <n v="23070"/>
    <n v="0.98827720128651819"/>
  </r>
  <r>
    <s v="REC-0619"/>
    <d v="2025-08-08T00:00:00"/>
    <x v="19"/>
    <x v="3"/>
    <x v="3"/>
    <x v="2"/>
    <x v="2"/>
    <x v="0"/>
    <n v="32"/>
    <n v="29"/>
    <n v="0.94265122494616904"/>
    <n v="0.94449543522365009"/>
    <n v="0.92187364750761425"/>
    <n v="12110"/>
    <n v="0.92421185102161274"/>
  </r>
  <r>
    <s v="REC-0620"/>
    <d v="2025-08-08T00:00:00"/>
    <x v="19"/>
    <x v="4"/>
    <x v="4"/>
    <x v="2"/>
    <x v="2"/>
    <x v="1"/>
    <n v="49"/>
    <n v="52"/>
    <n v="0.94526557189906812"/>
    <n v="0.97460608183674624"/>
    <n v="0.96955091356902634"/>
    <n v="27570"/>
    <n v="1.0009072838824518"/>
  </r>
  <r>
    <s v="REC-0621"/>
    <d v="2025-08-08T00:00:00"/>
    <x v="19"/>
    <x v="4"/>
    <x v="4"/>
    <x v="2"/>
    <x v="2"/>
    <x v="1"/>
    <n v="47"/>
    <n v="46"/>
    <n v="0.95494147958656372"/>
    <n v="0.97856558281378903"/>
    <n v="0.96274529234006201"/>
    <n v="19950"/>
    <n v="0.96955862748884936"/>
  </r>
  <r>
    <s v="REC-0622"/>
    <d v="2025-08-15T00:00:00"/>
    <x v="19"/>
    <x v="4"/>
    <x v="4"/>
    <x v="2"/>
    <x v="2"/>
    <x v="1"/>
    <n v="28"/>
    <n v="33"/>
    <n v="0.94889519548049372"/>
    <n v="0.99462550457396215"/>
    <n v="0.95569285394660064"/>
    <n v="17840"/>
    <n v="1.0489847667741092"/>
  </r>
  <r>
    <s v="REC-0623"/>
    <d v="2025-08-15T00:00:00"/>
    <x v="19"/>
    <x v="4"/>
    <x v="4"/>
    <x v="2"/>
    <x v="2"/>
    <x v="1"/>
    <n v="33"/>
    <n v="35"/>
    <n v="0.95003491390885109"/>
    <n v="0.96146669146458119"/>
    <n v="0.99377194910677102"/>
    <n v="18650"/>
    <n v="1.0047255462606783"/>
  </r>
  <r>
    <s v="REC-0624"/>
    <d v="2025-08-15T00:00:00"/>
    <x v="19"/>
    <x v="4"/>
    <x v="4"/>
    <x v="2"/>
    <x v="2"/>
    <x v="1"/>
    <n v="40"/>
    <n v="43"/>
    <n v="0.94587537228884222"/>
    <n v="0.99361834689952389"/>
    <n v="0.97478982916543155"/>
    <n v="22970"/>
    <n v="1.0104695609402254"/>
  </r>
  <r>
    <s v="REC-0625"/>
    <d v="2025-08-19T00:00:00"/>
    <x v="19"/>
    <x v="1"/>
    <x v="1"/>
    <x v="0"/>
    <x v="0"/>
    <x v="1"/>
    <n v="51"/>
    <n v="47"/>
    <n v="0.91445647734268987"/>
    <n v="0.95160383467561738"/>
    <n v="0.96531136257685568"/>
    <n v="27170"/>
    <n v="0.93304441803277827"/>
  </r>
  <r>
    <s v="REC-0626"/>
    <d v="2025-08-20T00:00:00"/>
    <x v="19"/>
    <x v="0"/>
    <x v="0"/>
    <x v="0"/>
    <x v="0"/>
    <x v="0"/>
    <n v="37"/>
    <n v="40"/>
    <n v="0.9045999731639377"/>
    <n v="0.96841225938712971"/>
    <n v="0.92419426950316608"/>
    <n v="22780"/>
    <n v="0.98868311853211954"/>
  </r>
  <r>
    <s v="REC-0627"/>
    <d v="2025-08-20T00:00:00"/>
    <x v="19"/>
    <x v="0"/>
    <x v="0"/>
    <x v="0"/>
    <x v="0"/>
    <x v="0"/>
    <n v="46"/>
    <n v="50"/>
    <n v="0.93977294365492248"/>
    <n v="0.98629217221782894"/>
    <n v="0.90963402818001304"/>
    <n v="31600"/>
    <n v="0.99959647607805979"/>
  </r>
  <r>
    <s v="REC-0628"/>
    <d v="2025-08-21T00:00:00"/>
    <x v="19"/>
    <x v="1"/>
    <x v="1"/>
    <x v="0"/>
    <x v="0"/>
    <x v="1"/>
    <n v="43"/>
    <n v="36"/>
    <n v="0.9221966824030684"/>
    <n v="0.98516702564379832"/>
    <n v="0.995"/>
    <n v="17710"/>
    <n v="0.91220794537756955"/>
  </r>
  <r>
    <s v="REC-0629"/>
    <d v="2025-08-22T00:00:00"/>
    <x v="19"/>
    <x v="1"/>
    <x v="1"/>
    <x v="0"/>
    <x v="0"/>
    <x v="1"/>
    <n v="33"/>
    <n v="33"/>
    <n v="0.91001892505512627"/>
    <n v="0.92376763365964776"/>
    <n v="0.94902196289712726"/>
    <n v="19860"/>
    <n v="0.95587426889215421"/>
  </r>
  <r>
    <s v="REC-0630"/>
    <d v="2025-08-22T00:00:00"/>
    <x v="19"/>
    <x v="1"/>
    <x v="1"/>
    <x v="0"/>
    <x v="0"/>
    <x v="1"/>
    <n v="45"/>
    <n v="43"/>
    <n v="0.93517745205817437"/>
    <n v="0.98358837531078036"/>
    <n v="0.92237310538112594"/>
    <n v="25050"/>
    <n v="0.94802946260960796"/>
  </r>
  <r>
    <s v="REC-0631"/>
    <d v="2025-08-22T00:00:00"/>
    <x v="19"/>
    <x v="2"/>
    <x v="2"/>
    <x v="1"/>
    <x v="1"/>
    <x v="0"/>
    <n v="37"/>
    <n v="33"/>
    <n v="0.88294712750292281"/>
    <n v="0.94997853768010765"/>
    <n v="0.94216372306036744"/>
    <n v="12090"/>
    <n v="0.90842306389657712"/>
  </r>
  <r>
    <s v="REC-0632"/>
    <d v="2025-08-22T00:00:00"/>
    <x v="19"/>
    <x v="5"/>
    <x v="5"/>
    <x v="1"/>
    <x v="1"/>
    <x v="2"/>
    <n v="31"/>
    <n v="29"/>
    <n v="0.99253491498885182"/>
    <n v="0.95557268027791331"/>
    <n v="0.88671701853639706"/>
    <n v="12970"/>
    <n v="0.94300658288327621"/>
  </r>
  <r>
    <s v="REC-0633"/>
    <d v="2025-08-22T00:00:00"/>
    <x v="19"/>
    <x v="5"/>
    <x v="5"/>
    <x v="1"/>
    <x v="1"/>
    <x v="2"/>
    <n v="36"/>
    <n v="38"/>
    <n v="0.94818364051463933"/>
    <n v="0.99194704729272998"/>
    <n v="0.9196803476043901"/>
    <n v="16650"/>
    <n v="0.99199625896566967"/>
  </r>
  <r>
    <s v="REC-0634"/>
    <d v="2025-08-22T00:00:00"/>
    <x v="19"/>
    <x v="5"/>
    <x v="5"/>
    <x v="1"/>
    <x v="1"/>
    <x v="2"/>
    <n v="36"/>
    <n v="37"/>
    <n v="0.98398582155750158"/>
    <n v="0.95725167204418182"/>
    <n v="0.90531774401046206"/>
    <n v="17730"/>
    <n v="0.98175886610920626"/>
  </r>
  <r>
    <s v="REC-0635"/>
    <d v="2025-08-25T00:00:00"/>
    <x v="19"/>
    <x v="2"/>
    <x v="2"/>
    <x v="1"/>
    <x v="1"/>
    <x v="0"/>
    <n v="35"/>
    <n v="37"/>
    <n v="0.90486485680911888"/>
    <n v="0.95626950733726801"/>
    <n v="0.89364664451647169"/>
    <n v="12930"/>
    <n v="0.97124311206330716"/>
  </r>
  <r>
    <s v="REC-0636"/>
    <d v="2025-08-27T00:00:00"/>
    <x v="19"/>
    <x v="5"/>
    <x v="5"/>
    <x v="1"/>
    <x v="1"/>
    <x v="2"/>
    <n v="43"/>
    <n v="46"/>
    <n v="0.91745930306503931"/>
    <n v="0.98736433883898234"/>
    <n v="0.943965911202857"/>
    <n v="18610"/>
    <n v="0.99416963557686455"/>
  </r>
  <r>
    <s v="REC-0637"/>
    <d v="2025-08-27T00:00:00"/>
    <x v="19"/>
    <x v="4"/>
    <x v="4"/>
    <x v="2"/>
    <x v="2"/>
    <x v="1"/>
    <n v="36"/>
    <n v="40"/>
    <n v="0.96846325548416556"/>
    <n v="0.97941374222111832"/>
    <n v="0.96570673019031394"/>
    <n v="21560"/>
    <n v="1.0266136656867164"/>
  </r>
  <r>
    <s v="REC-0638"/>
    <d v="2025-08-28T00:00:00"/>
    <x v="19"/>
    <x v="1"/>
    <x v="1"/>
    <x v="0"/>
    <x v="0"/>
    <x v="1"/>
    <n v="41"/>
    <n v="41"/>
    <n v="0.89699867529675736"/>
    <n v="0.96524597196414619"/>
    <n v="0.9170655532094093"/>
    <n v="21050"/>
    <n v="0.95244967526069324"/>
  </r>
  <r>
    <s v="REC-0639"/>
    <d v="2025-08-28T00:00:00"/>
    <x v="19"/>
    <x v="4"/>
    <x v="4"/>
    <x v="2"/>
    <x v="2"/>
    <x v="1"/>
    <n v="51"/>
    <n v="59"/>
    <n v="0.94461609938473556"/>
    <n v="0.96110532217018119"/>
    <n v="0.98395078813653569"/>
    <n v="32110"/>
    <n v="1.0398550788382341"/>
  </r>
  <r>
    <s v="REC-0640"/>
    <d v="2025-08-29T00:00:00"/>
    <x v="19"/>
    <x v="0"/>
    <x v="0"/>
    <x v="0"/>
    <x v="0"/>
    <x v="0"/>
    <n v="41"/>
    <n v="40"/>
    <n v="0.96822452696410422"/>
    <n v="0.97824760444575964"/>
    <n v="0.97337961775409299"/>
    <n v="25000"/>
    <n v="0.97371309839773301"/>
  </r>
  <r>
    <s v="REC-0641"/>
    <d v="2025-08-29T00:00:00"/>
    <x v="19"/>
    <x v="5"/>
    <x v="5"/>
    <x v="1"/>
    <x v="1"/>
    <x v="2"/>
    <n v="49"/>
    <n v="48"/>
    <n v="0.90774757800841666"/>
    <n v="0.96557082193349186"/>
    <n v="0.92775288542403211"/>
    <n v="18180"/>
    <n v="0.94915982957081191"/>
  </r>
  <r>
    <s v="REC-0642"/>
    <d v="2025-08-29T00:00:00"/>
    <x v="19"/>
    <x v="4"/>
    <x v="4"/>
    <x v="2"/>
    <x v="2"/>
    <x v="1"/>
    <n v="36"/>
    <n v="38"/>
    <n v="0.97997549432262365"/>
    <n v="0.99334599780901889"/>
    <n v="0.96128048060204385"/>
    <n v="18210"/>
    <n v="1.0084740915946397"/>
  </r>
  <r>
    <s v="REC-0643"/>
    <d v="2025-08-29T00:00:00"/>
    <x v="19"/>
    <x v="4"/>
    <x v="4"/>
    <x v="2"/>
    <x v="2"/>
    <x v="1"/>
    <n v="43"/>
    <n v="43"/>
    <n v="0.95949795419861938"/>
    <n v="0.98956657007253646"/>
    <n v="0.995"/>
    <n v="18360"/>
    <n v="0.98730947406053549"/>
  </r>
  <r>
    <s v="REC-0644"/>
    <d v="2025-09-01T00:00:00"/>
    <x v="20"/>
    <x v="2"/>
    <x v="2"/>
    <x v="1"/>
    <x v="1"/>
    <x v="0"/>
    <n v="53"/>
    <n v="48"/>
    <n v="0.89713313386468152"/>
    <n v="0.95478767148110055"/>
    <n v="0.91341772709714242"/>
    <n v="20860"/>
    <n v="0.91244913055116017"/>
  </r>
  <r>
    <s v="REC-0645"/>
    <d v="2025-09-03T00:00:00"/>
    <x v="20"/>
    <x v="2"/>
    <x v="2"/>
    <x v="1"/>
    <x v="1"/>
    <x v="0"/>
    <n v="44"/>
    <n v="41"/>
    <n v="0.88034793549434076"/>
    <n v="0.94891579148972616"/>
    <n v="0.88368325306464746"/>
    <n v="17690"/>
    <n v="0.91188827593724642"/>
  </r>
  <r>
    <s v="REC-0646"/>
    <d v="2025-09-05T00:00:00"/>
    <x v="20"/>
    <x v="5"/>
    <x v="5"/>
    <x v="1"/>
    <x v="1"/>
    <x v="2"/>
    <n v="51"/>
    <n v="49"/>
    <n v="0.974992074165977"/>
    <n v="0.96720379296737502"/>
    <n v="0.92815356538430083"/>
    <n v="21760"/>
    <n v="0.95877302605365677"/>
  </r>
  <r>
    <s v="REC-0647"/>
    <d v="2025-09-08T00:00:00"/>
    <x v="20"/>
    <x v="2"/>
    <x v="2"/>
    <x v="1"/>
    <x v="1"/>
    <x v="0"/>
    <n v="44"/>
    <n v="40"/>
    <n v="0.9073271708464995"/>
    <n v="0.97761774153113457"/>
    <n v="0.90033574796642912"/>
    <n v="17270"/>
    <n v="0.91717796717094457"/>
  </r>
  <r>
    <s v="REC-0648"/>
    <d v="2025-09-10T00:00:00"/>
    <x v="20"/>
    <x v="5"/>
    <x v="5"/>
    <x v="1"/>
    <x v="1"/>
    <x v="2"/>
    <n v="41"/>
    <n v="39"/>
    <n v="0.93393183668911983"/>
    <n v="0.95037898901371909"/>
    <n v="0.94294766018872023"/>
    <n v="15920"/>
    <n v="0.94511714444013062"/>
  </r>
  <r>
    <s v="REC-0649"/>
    <d v="2025-09-11T00:00:00"/>
    <x v="20"/>
    <x v="2"/>
    <x v="2"/>
    <x v="1"/>
    <x v="1"/>
    <x v="0"/>
    <n v="48"/>
    <n v="38"/>
    <n v="0.9351049852736778"/>
    <n v="0.95822743852057068"/>
    <n v="0.82738963377859709"/>
    <n v="16230"/>
    <n v="0.85965495551889104"/>
  </r>
  <r>
    <s v="REC-0650"/>
    <d v="2025-09-11T00:00:00"/>
    <x v="20"/>
    <x v="5"/>
    <x v="5"/>
    <x v="1"/>
    <x v="1"/>
    <x v="2"/>
    <n v="53"/>
    <n v="57"/>
    <n v="0.95140953973104558"/>
    <n v="0.96782859450637559"/>
    <n v="0.90511832251843083"/>
    <n v="24220"/>
    <n v="0.99423901785768698"/>
  </r>
  <r>
    <s v="REC-0651"/>
    <d v="2025-09-12T00:00:00"/>
    <x v="20"/>
    <x v="5"/>
    <x v="5"/>
    <x v="1"/>
    <x v="1"/>
    <x v="2"/>
    <n v="40"/>
    <n v="41"/>
    <n v="0.96469637934153374"/>
    <n v="0.98311910748438847"/>
    <n v="0.89729550581689665"/>
    <n v="18980"/>
    <n v="0.97810106212142112"/>
  </r>
  <r>
    <s v="REC-0652"/>
    <d v="2025-09-12T00:00:00"/>
    <x v="20"/>
    <x v="3"/>
    <x v="3"/>
    <x v="2"/>
    <x v="2"/>
    <x v="0"/>
    <n v="47"/>
    <n v="50"/>
    <n v="0.92419582799029087"/>
    <n v="0.96187032174666576"/>
    <n v="0.92409756082252137"/>
    <n v="21930"/>
    <n v="0.98568093231769394"/>
  </r>
  <r>
    <s v="REC-0653"/>
    <d v="2025-09-12T00:00:00"/>
    <x v="20"/>
    <x v="3"/>
    <x v="3"/>
    <x v="2"/>
    <x v="2"/>
    <x v="0"/>
    <n v="41"/>
    <n v="40"/>
    <n v="0.9428254543147534"/>
    <n v="0.9632211267902171"/>
    <n v="0.95684807696877294"/>
    <n v="19480"/>
    <n v="0.96180305042999992"/>
  </r>
  <r>
    <s v="REC-0654"/>
    <d v="2025-09-12T00:00:00"/>
    <x v="20"/>
    <x v="3"/>
    <x v="3"/>
    <x v="2"/>
    <x v="2"/>
    <x v="0"/>
    <n v="34"/>
    <n v="30"/>
    <n v="0.94031838080467722"/>
    <n v="0.97116144439805685"/>
    <n v="0.94048944478665619"/>
    <n v="13900"/>
    <n v="0.92179287728879733"/>
  </r>
  <r>
    <s v="REC-0655"/>
    <d v="2025-09-15T00:00:00"/>
    <x v="20"/>
    <x v="4"/>
    <x v="4"/>
    <x v="2"/>
    <x v="2"/>
    <x v="1"/>
    <n v="49"/>
    <n v="53"/>
    <n v="0.94588530512954083"/>
    <n v="0.99187088645150079"/>
    <n v="0.995"/>
    <n v="24320"/>
    <n v="1.0169050204746002"/>
  </r>
  <r>
    <s v="REC-0656"/>
    <d v="2025-09-18T00:00:00"/>
    <x v="20"/>
    <x v="2"/>
    <x v="2"/>
    <x v="1"/>
    <x v="1"/>
    <x v="0"/>
    <n v="33"/>
    <n v="29"/>
    <n v="0.92011507522253388"/>
    <n v="0.95454590126411643"/>
    <n v="0.83082865987487575"/>
    <n v="11800"/>
    <n v="0.89089153748537775"/>
  </r>
  <r>
    <s v="REC-0657"/>
    <d v="2025-09-19T00:00:00"/>
    <x v="20"/>
    <x v="0"/>
    <x v="0"/>
    <x v="0"/>
    <x v="0"/>
    <x v="0"/>
    <n v="52"/>
    <n v="62"/>
    <n v="0.92277687091837124"/>
    <n v="0.97039379502834111"/>
    <n v="0.94006072369917626"/>
    <n v="36510"/>
    <n v="1.0411885086467563"/>
  </r>
  <r>
    <s v="REC-0658"/>
    <d v="2025-09-19T00:00:00"/>
    <x v="20"/>
    <x v="1"/>
    <x v="1"/>
    <x v="0"/>
    <x v="0"/>
    <x v="1"/>
    <n v="54"/>
    <n v="52"/>
    <n v="0.89413417482900737"/>
    <n v="0.97099710860804533"/>
    <n v="0.92024703883847803"/>
    <n v="31740"/>
    <n v="0.93841770295133953"/>
  </r>
  <r>
    <s v="REC-0659"/>
    <d v="2025-09-19T00:00:00"/>
    <x v="20"/>
    <x v="1"/>
    <x v="1"/>
    <x v="0"/>
    <x v="0"/>
    <x v="1"/>
    <n v="47"/>
    <n v="42"/>
    <n v="0.89901979702147772"/>
    <n v="0.92273011751817757"/>
    <n v="0.95038933977381868"/>
    <n v="23070"/>
    <n v="0.91068914334849815"/>
  </r>
  <r>
    <s v="REC-0660"/>
    <d v="2025-09-19T00:00:00"/>
    <x v="20"/>
    <x v="2"/>
    <x v="2"/>
    <x v="1"/>
    <x v="1"/>
    <x v="0"/>
    <n v="38"/>
    <n v="33"/>
    <n v="0.92514933299243474"/>
    <n v="0.95686252165121055"/>
    <n v="0.93065584677951951"/>
    <n v="12760"/>
    <n v="0.90831630190432577"/>
  </r>
  <r>
    <s v="REC-0661"/>
    <d v="2025-09-19T00:00:00"/>
    <x v="20"/>
    <x v="3"/>
    <x v="3"/>
    <x v="2"/>
    <x v="2"/>
    <x v="0"/>
    <n v="48"/>
    <n v="40"/>
    <n v="0.92803378581507845"/>
    <n v="0.92444651881351891"/>
    <n v="0.90253262516152333"/>
    <n v="20050"/>
    <n v="0.88451528264143553"/>
  </r>
  <r>
    <s v="REC-0662"/>
    <d v="2025-09-19T00:00:00"/>
    <x v="20"/>
    <x v="3"/>
    <x v="3"/>
    <x v="2"/>
    <x v="2"/>
    <x v="0"/>
    <n v="48"/>
    <n v="49"/>
    <n v="0.94992956482586433"/>
    <n v="0.95972910043952864"/>
    <n v="0.94718116625088722"/>
    <n v="20100"/>
    <n v="0.97921132285590617"/>
  </r>
  <r>
    <s v="REC-0663"/>
    <d v="2025-09-22T00:00:00"/>
    <x v="20"/>
    <x v="5"/>
    <x v="5"/>
    <x v="1"/>
    <x v="1"/>
    <x v="2"/>
    <n v="55"/>
    <n v="53"/>
    <n v="0.92457166132372148"/>
    <n v="0.98417583719524349"/>
    <n v="0.95846369143571708"/>
    <n v="21640"/>
    <n v="0.95591657465190571"/>
  </r>
  <r>
    <s v="REC-0664"/>
    <d v="2025-09-26T00:00:00"/>
    <x v="20"/>
    <x v="0"/>
    <x v="0"/>
    <x v="0"/>
    <x v="0"/>
    <x v="0"/>
    <n v="55"/>
    <n v="59"/>
    <n v="0.89369699916374057"/>
    <n v="0.98909195857038656"/>
    <n v="0.87789497551450812"/>
    <n v="35620"/>
    <n v="0.97645794777030392"/>
  </r>
  <r>
    <s v="REC-0665"/>
    <d v="2025-09-26T00:00:00"/>
    <x v="20"/>
    <x v="0"/>
    <x v="0"/>
    <x v="0"/>
    <x v="0"/>
    <x v="0"/>
    <n v="35"/>
    <n v="30"/>
    <n v="0.9232269233925301"/>
    <n v="0.95775657260765601"/>
    <n v="0.94643537661879129"/>
    <n v="18680"/>
    <n v="0.90661443492018212"/>
  </r>
  <r>
    <s v="REC-0666"/>
    <d v="2025-09-26T00:00:00"/>
    <x v="20"/>
    <x v="5"/>
    <x v="5"/>
    <x v="1"/>
    <x v="1"/>
    <x v="2"/>
    <n v="38"/>
    <n v="30"/>
    <n v="0.95675372074653509"/>
    <n v="1"/>
    <n v="0.88719204382513794"/>
    <n v="12640"/>
    <n v="0.88241631263587195"/>
  </r>
  <r>
    <s v="REC-0667"/>
    <d v="2025-09-26T00:00:00"/>
    <x v="20"/>
    <x v="5"/>
    <x v="5"/>
    <x v="1"/>
    <x v="1"/>
    <x v="2"/>
    <n v="30"/>
    <n v="33"/>
    <n v="0.96500329316512967"/>
    <n v="0.98989345598187961"/>
    <n v="0.90833371035905586"/>
    <n v="14320"/>
    <n v="1.0114015837603756"/>
  </r>
  <r>
    <s v="REC-0668"/>
    <d v="2025-09-26T00:00:00"/>
    <x v="20"/>
    <x v="5"/>
    <x v="5"/>
    <x v="1"/>
    <x v="1"/>
    <x v="2"/>
    <n v="38"/>
    <n v="38"/>
    <n v="0.9448972631860858"/>
    <n v="1"/>
    <n v="0.90637125569097887"/>
    <n v="17680"/>
    <n v="0.96749856693471736"/>
  </r>
  <r>
    <s v="REC-0669"/>
    <d v="2025-09-29T00:00:00"/>
    <x v="20"/>
    <x v="3"/>
    <x v="3"/>
    <x v="2"/>
    <x v="2"/>
    <x v="0"/>
    <n v="45"/>
    <n v="46"/>
    <n v="0.93749285234383606"/>
    <n v="0.95612112589461318"/>
    <n v="0.93750853849938554"/>
    <n v="22080"/>
    <n v="0.97418197855891697"/>
  </r>
  <r>
    <s v="REC-0670"/>
    <d v="2025-09-30T00:00:00"/>
    <x v="20"/>
    <x v="0"/>
    <x v="0"/>
    <x v="0"/>
    <x v="0"/>
    <x v="0"/>
    <n v="50"/>
    <n v="51"/>
    <n v="0.94942175266990392"/>
    <n v="0.95722374357937035"/>
    <n v="0.96561652583337987"/>
    <n v="29660"/>
    <n v="0.9820623048710575"/>
  </r>
  <r>
    <s v="REC-0671"/>
    <d v="2025-09-30T00:00:00"/>
    <x v="20"/>
    <x v="3"/>
    <x v="3"/>
    <x v="2"/>
    <x v="2"/>
    <x v="0"/>
    <n v="39"/>
    <n v="41"/>
    <n v="0.91802008443589145"/>
    <n v="0.93091287985378435"/>
    <n v="0.94098791437213425"/>
    <n v="18910"/>
    <n v="0.97785235647428803"/>
  </r>
  <r>
    <s v="REC-0672"/>
    <d v="2025-09-30T00:00:00"/>
    <x v="20"/>
    <x v="4"/>
    <x v="4"/>
    <x v="2"/>
    <x v="2"/>
    <x v="1"/>
    <n v="49"/>
    <n v="50"/>
    <n v="0.9622508707477585"/>
    <n v="0.96397726316193388"/>
    <n v="0.913889563716759"/>
    <n v="24840"/>
    <n v="0.97610048521070403"/>
  </r>
  <r>
    <s v="REC-0673"/>
    <d v="2025-10-02T00:00:00"/>
    <x v="21"/>
    <x v="0"/>
    <x v="0"/>
    <x v="0"/>
    <x v="0"/>
    <x v="0"/>
    <n v="46"/>
    <n v="43"/>
    <n v="0.89388843217953418"/>
    <n v="0.94987620916750548"/>
    <n v="0.94534719087732111"/>
    <n v="25590"/>
    <n v="0.92893602107373452"/>
  </r>
  <r>
    <s v="REC-0674"/>
    <d v="2025-10-02T00:00:00"/>
    <x v="21"/>
    <x v="1"/>
    <x v="1"/>
    <x v="0"/>
    <x v="0"/>
    <x v="1"/>
    <n v="47"/>
    <n v="44"/>
    <n v="0.92468101515069079"/>
    <n v="0.96685781000481374"/>
    <n v="0.98710042500685613"/>
    <n v="27470"/>
    <n v="0.94808709539614899"/>
  </r>
  <r>
    <s v="REC-0675"/>
    <d v="2025-10-03T00:00:00"/>
    <x v="21"/>
    <x v="0"/>
    <x v="0"/>
    <x v="0"/>
    <x v="0"/>
    <x v="0"/>
    <n v="47"/>
    <n v="51"/>
    <n v="0.92768018260994634"/>
    <n v="0.97242445761980134"/>
    <n v="0.93958568395400544"/>
    <n v="30570"/>
    <n v="0.99974340427774722"/>
  </r>
  <r>
    <s v="REC-0676"/>
    <d v="2025-10-03T00:00:00"/>
    <x v="21"/>
    <x v="0"/>
    <x v="0"/>
    <x v="0"/>
    <x v="0"/>
    <x v="0"/>
    <n v="28"/>
    <n v="28"/>
    <n v="0.995"/>
    <n v="0.96074397942706435"/>
    <n v="0.92630144127874725"/>
    <n v="15560"/>
    <n v="0.97812188516980914"/>
  </r>
  <r>
    <s v="REC-0677"/>
    <d v="2025-10-03T00:00:00"/>
    <x v="21"/>
    <x v="3"/>
    <x v="3"/>
    <x v="2"/>
    <x v="2"/>
    <x v="0"/>
    <n v="30"/>
    <n v="28"/>
    <n v="0.88106724676581027"/>
    <n v="0.97489910560340964"/>
    <n v="0.90907136152107337"/>
    <n v="13930"/>
    <n v="0.921649283169512"/>
  </r>
  <r>
    <s v="REC-0678"/>
    <d v="2025-10-03T00:00:00"/>
    <x v="21"/>
    <x v="4"/>
    <x v="4"/>
    <x v="2"/>
    <x v="2"/>
    <x v="1"/>
    <n v="51"/>
    <n v="56"/>
    <n v="0.98425770514974797"/>
    <n v="0.96614829827763371"/>
    <n v="0.92065939171478606"/>
    <n v="24210"/>
    <n v="1.0143342356465492"/>
  </r>
  <r>
    <s v="REC-0679"/>
    <d v="2025-10-07T00:00:00"/>
    <x v="21"/>
    <x v="0"/>
    <x v="0"/>
    <x v="0"/>
    <x v="0"/>
    <x v="0"/>
    <n v="44"/>
    <n v="43"/>
    <n v="0.93869988912878166"/>
    <n v="0.956364026647743"/>
    <n v="0.93172358131005895"/>
    <n v="27110"/>
    <n v="0.95538338345045959"/>
  </r>
  <r>
    <s v="REC-0680"/>
    <d v="2025-10-07T00:00:00"/>
    <x v="21"/>
    <x v="5"/>
    <x v="5"/>
    <x v="1"/>
    <x v="1"/>
    <x v="2"/>
    <n v="28"/>
    <n v="27"/>
    <n v="0.98823798353952907"/>
    <n v="0.97253752938944282"/>
    <n v="0.90173791971765749"/>
    <n v="11770"/>
    <n v="0.95900199495111593"/>
  </r>
  <r>
    <s v="REC-0681"/>
    <d v="2025-10-07T00:00:00"/>
    <x v="21"/>
    <x v="3"/>
    <x v="3"/>
    <x v="2"/>
    <x v="2"/>
    <x v="0"/>
    <n v="35"/>
    <n v="35"/>
    <n v="0.9392399564416507"/>
    <n v="0.96387868822915657"/>
    <n v="0.9692201228981151"/>
    <n v="14300"/>
    <n v="0.97323581692440919"/>
  </r>
  <r>
    <s v="REC-0682"/>
    <d v="2025-10-08T00:00:00"/>
    <x v="21"/>
    <x v="0"/>
    <x v="0"/>
    <x v="0"/>
    <x v="0"/>
    <x v="0"/>
    <n v="48"/>
    <n v="48"/>
    <n v="0.9625918264134643"/>
    <n v="0.95337208782093397"/>
    <n v="0.92049220471341009"/>
    <n v="25880"/>
    <n v="0.96775221071918816"/>
  </r>
  <r>
    <s v="REC-0683"/>
    <d v="2025-10-08T00:00:00"/>
    <x v="21"/>
    <x v="2"/>
    <x v="2"/>
    <x v="1"/>
    <x v="1"/>
    <x v="0"/>
    <n v="49"/>
    <n v="56"/>
    <n v="0.86217227911079064"/>
    <n v="0.94960985444069368"/>
    <n v="0.86120032874208785"/>
    <n v="19870"/>
    <n v="0.98736747083507637"/>
  </r>
  <r>
    <s v="REC-0684"/>
    <d v="2025-10-10T00:00:00"/>
    <x v="21"/>
    <x v="1"/>
    <x v="1"/>
    <x v="0"/>
    <x v="0"/>
    <x v="1"/>
    <n v="47"/>
    <n v="42"/>
    <n v="0.96305118863278472"/>
    <n v="0.96019240578987308"/>
    <n v="0.90964221004240398"/>
    <n v="21670"/>
    <n v="0.92416690854579631"/>
  </r>
  <r>
    <s v="REC-0685"/>
    <d v="2025-10-10T00:00:00"/>
    <x v="21"/>
    <x v="1"/>
    <x v="1"/>
    <x v="0"/>
    <x v="0"/>
    <x v="1"/>
    <n v="28"/>
    <n v="29"/>
    <n v="0.94008787195234556"/>
    <n v="0.94590058261192644"/>
    <n v="0.97083405018424807"/>
    <n v="14630"/>
    <n v="0.98535957970243937"/>
  </r>
  <r>
    <s v="REC-0686"/>
    <d v="2025-10-10T00:00:00"/>
    <x v="21"/>
    <x v="1"/>
    <x v="1"/>
    <x v="0"/>
    <x v="0"/>
    <x v="1"/>
    <n v="36"/>
    <n v="35"/>
    <n v="0.89657588919667586"/>
    <n v="0.96312792765518873"/>
    <n v="0.98394239199707667"/>
    <n v="18690"/>
    <n v="0.9542905287357516"/>
  </r>
  <r>
    <s v="REC-0687"/>
    <d v="2025-10-10T00:00:00"/>
    <x v="21"/>
    <x v="5"/>
    <x v="5"/>
    <x v="1"/>
    <x v="1"/>
    <x v="2"/>
    <n v="50"/>
    <n v="53"/>
    <n v="0.93389660858793466"/>
    <n v="0.96658727164309588"/>
    <n v="0.86519864303308547"/>
    <n v="19630"/>
    <n v="0.97550197150006512"/>
  </r>
  <r>
    <s v="REC-0688"/>
    <d v="2025-10-10T00:00:00"/>
    <x v="21"/>
    <x v="4"/>
    <x v="4"/>
    <x v="2"/>
    <x v="2"/>
    <x v="1"/>
    <n v="53"/>
    <n v="55"/>
    <n v="0.99265420968637896"/>
    <n v="0.97836635378004511"/>
    <n v="0.96210597136112641"/>
    <n v="24350"/>
    <n v="1.0024340393834683"/>
  </r>
  <r>
    <s v="REC-0689"/>
    <d v="2025-10-14T00:00:00"/>
    <x v="21"/>
    <x v="0"/>
    <x v="0"/>
    <x v="0"/>
    <x v="0"/>
    <x v="0"/>
    <n v="33"/>
    <n v="35"/>
    <n v="0.98283204799877444"/>
    <n v="0.95548294526896538"/>
    <n v="0.96200902789098941"/>
    <n v="21630"/>
    <n v="1.0056746836106605"/>
  </r>
  <r>
    <s v="REC-0690"/>
    <d v="2025-10-14T00:00:00"/>
    <x v="21"/>
    <x v="4"/>
    <x v="4"/>
    <x v="2"/>
    <x v="2"/>
    <x v="1"/>
    <n v="28"/>
    <n v="29"/>
    <n v="0.95341639929262256"/>
    <n v="0.99460355529387323"/>
    <n v="0.93791051672343517"/>
    <n v="13400"/>
    <n v="0.98941245074763806"/>
  </r>
  <r>
    <s v="REC-0691"/>
    <d v="2025-10-15T00:00:00"/>
    <x v="21"/>
    <x v="2"/>
    <x v="2"/>
    <x v="1"/>
    <x v="1"/>
    <x v="0"/>
    <n v="30"/>
    <n v="29"/>
    <n v="0.91533584978620053"/>
    <n v="0.94445502594494224"/>
    <n v="0.87599747837654707"/>
    <n v="11940"/>
    <n v="0.93236837868026756"/>
  </r>
  <r>
    <s v="REC-0692"/>
    <d v="2025-10-15T00:00:00"/>
    <x v="21"/>
    <x v="3"/>
    <x v="3"/>
    <x v="2"/>
    <x v="2"/>
    <x v="0"/>
    <n v="47"/>
    <n v="48"/>
    <n v="0.91499274032882216"/>
    <n v="0.94770352903623989"/>
    <n v="0.93365184814908564"/>
    <n v="21620"/>
    <n v="0.966144722365331"/>
  </r>
  <r>
    <s v="REC-0693"/>
    <d v="2025-10-15T00:00:00"/>
    <x v="21"/>
    <x v="4"/>
    <x v="4"/>
    <x v="2"/>
    <x v="2"/>
    <x v="1"/>
    <n v="49"/>
    <n v="59"/>
    <n v="0.94107838502832386"/>
    <n v="0.97827025523965727"/>
    <n v="0.96595188785778663"/>
    <n v="28750"/>
    <n v="1.0552005121145869"/>
  </r>
  <r>
    <s v="REC-0694"/>
    <d v="2025-10-16T00:00:00"/>
    <x v="21"/>
    <x v="0"/>
    <x v="0"/>
    <x v="0"/>
    <x v="0"/>
    <x v="0"/>
    <n v="31"/>
    <n v="34"/>
    <n v="0.94649869687202648"/>
    <n v="0.97492478211805089"/>
    <n v="0.97347191955051071"/>
    <n v="20510"/>
    <n v="1.0162674528651712"/>
  </r>
  <r>
    <s v="REC-0695"/>
    <d v="2025-10-16T00:00:00"/>
    <x v="21"/>
    <x v="4"/>
    <x v="4"/>
    <x v="2"/>
    <x v="2"/>
    <x v="1"/>
    <n v="34"/>
    <n v="35"/>
    <n v="0.97811629915385689"/>
    <n v="0.9773695820935443"/>
    <n v="0.99334322418162513"/>
    <n v="16720"/>
    <n v="1.0015678628211737"/>
  </r>
  <r>
    <s v="REC-0696"/>
    <d v="2025-10-17T00:00:00"/>
    <x v="21"/>
    <x v="1"/>
    <x v="1"/>
    <x v="0"/>
    <x v="0"/>
    <x v="1"/>
    <n v="43"/>
    <n v="45"/>
    <n v="0.90076025538799387"/>
    <n v="0.98782627857388261"/>
    <n v="0.98137565588299491"/>
    <n v="27190"/>
    <n v="0.9882437879724707"/>
  </r>
  <r>
    <s v="REC-0697"/>
    <d v="2025-10-17T00:00:00"/>
    <x v="21"/>
    <x v="1"/>
    <x v="1"/>
    <x v="0"/>
    <x v="0"/>
    <x v="1"/>
    <n v="54"/>
    <n v="51"/>
    <n v="0.91362594706816225"/>
    <n v="0.95252601807794257"/>
    <n v="0.93079252632510245"/>
    <n v="25820"/>
    <n v="0.93522167252153021"/>
  </r>
  <r>
    <s v="REC-0698"/>
    <d v="2025-10-17T00:00:00"/>
    <x v="21"/>
    <x v="5"/>
    <x v="5"/>
    <x v="1"/>
    <x v="1"/>
    <x v="2"/>
    <n v="45"/>
    <n v="43"/>
    <n v="0.96899775172871383"/>
    <n v="0.971495711015117"/>
    <n v="0.93176294605810661"/>
    <n v="15980"/>
    <n v="0.95654860601828962"/>
  </r>
  <r>
    <s v="REC-0699"/>
    <d v="2025-10-17T00:00:00"/>
    <x v="21"/>
    <x v="5"/>
    <x v="5"/>
    <x v="1"/>
    <x v="1"/>
    <x v="2"/>
    <n v="38"/>
    <n v="40"/>
    <n v="0.93849589759121554"/>
    <n v="0.97080151559022509"/>
    <n v="0.86468600873589896"/>
    <n v="15950"/>
    <n v="0.97423403506246475"/>
  </r>
  <r>
    <s v="REC-0700"/>
    <d v="2025-10-17T00:00:00"/>
    <x v="21"/>
    <x v="4"/>
    <x v="4"/>
    <x v="2"/>
    <x v="2"/>
    <x v="1"/>
    <n v="43"/>
    <n v="43"/>
    <n v="0.96964399792002609"/>
    <n v="0.96205638870993082"/>
    <n v="0.92936865319837381"/>
    <n v="19660"/>
    <n v="0.97259318842617093"/>
  </r>
  <r>
    <s v="REC-0701"/>
    <d v="2025-10-20T00:00:00"/>
    <x v="21"/>
    <x v="1"/>
    <x v="1"/>
    <x v="0"/>
    <x v="0"/>
    <x v="1"/>
    <n v="53"/>
    <n v="49"/>
    <n v="0.89122356148005577"/>
    <n v="0.96480593724903951"/>
    <n v="0.96899265625617681"/>
    <n v="27460"/>
    <n v="0.93113663296332227"/>
  </r>
  <r>
    <s v="REC-0702"/>
    <d v="2025-10-20T00:00:00"/>
    <x v="21"/>
    <x v="2"/>
    <x v="2"/>
    <x v="1"/>
    <x v="1"/>
    <x v="0"/>
    <n v="37"/>
    <n v="27"/>
    <n v="0.90350973676753432"/>
    <n v="0.96776149383978438"/>
    <n v="0.82484560433886278"/>
    <n v="9390"/>
    <n v="0.82790267102751569"/>
  </r>
  <r>
    <s v="REC-0703"/>
    <d v="2025-10-21T00:00:00"/>
    <x v="21"/>
    <x v="1"/>
    <x v="1"/>
    <x v="0"/>
    <x v="0"/>
    <x v="1"/>
    <n v="50"/>
    <n v="49"/>
    <n v="0.89534397015837541"/>
    <n v="0.96948547542503372"/>
    <n v="0.94512342657745874"/>
    <n v="29900"/>
    <n v="0.9502834991688407"/>
  </r>
  <r>
    <s v="REC-0704"/>
    <d v="2025-10-23T00:00:00"/>
    <x v="21"/>
    <x v="0"/>
    <x v="0"/>
    <x v="0"/>
    <x v="0"/>
    <x v="0"/>
    <n v="31"/>
    <n v="36"/>
    <n v="0.95839623403435104"/>
    <n v="0.97270648369118895"/>
    <n v="0.91766193081846192"/>
    <n v="19070"/>
    <n v="1.0335535462582166"/>
  </r>
  <r>
    <s v="REC-0705"/>
    <d v="2025-10-23T00:00:00"/>
    <x v="21"/>
    <x v="1"/>
    <x v="1"/>
    <x v="0"/>
    <x v="0"/>
    <x v="1"/>
    <n v="55"/>
    <n v="51"/>
    <n v="0.92222977294005548"/>
    <n v="0.96623388308787828"/>
    <n v="0.995"/>
    <n v="25950"/>
    <n v="0.9454016166072865"/>
  </r>
  <r>
    <s v="REC-0706"/>
    <d v="2025-10-23T00:00:00"/>
    <x v="21"/>
    <x v="5"/>
    <x v="5"/>
    <x v="1"/>
    <x v="1"/>
    <x v="2"/>
    <n v="40"/>
    <n v="41"/>
    <n v="0.93784651014309151"/>
    <n v="1"/>
    <n v="0.93806115161857562"/>
    <n v="17350"/>
    <n v="0.98207385785948798"/>
  </r>
  <r>
    <s v="REC-0707"/>
    <d v="2025-10-23T00:00:00"/>
    <x v="21"/>
    <x v="3"/>
    <x v="3"/>
    <x v="2"/>
    <x v="2"/>
    <x v="0"/>
    <n v="33"/>
    <n v="35"/>
    <n v="0.94294208965217574"/>
    <n v="0.98189945938850542"/>
    <n v="0.93813754540934335"/>
    <n v="16670"/>
    <n v="0.99489037464561259"/>
  </r>
  <r>
    <s v="REC-0708"/>
    <d v="2025-10-24T00:00:00"/>
    <x v="21"/>
    <x v="1"/>
    <x v="1"/>
    <x v="0"/>
    <x v="0"/>
    <x v="1"/>
    <n v="39"/>
    <n v="38"/>
    <n v="0.89197336943080496"/>
    <n v="0.93519979947567933"/>
    <n v="0.92174366723955192"/>
    <n v="23560"/>
    <n v="0.93736563547055329"/>
  </r>
  <r>
    <s v="REC-0709"/>
    <d v="2025-10-24T00:00:00"/>
    <x v="21"/>
    <x v="2"/>
    <x v="2"/>
    <x v="1"/>
    <x v="1"/>
    <x v="0"/>
    <n v="47"/>
    <n v="41"/>
    <n v="0.89008077677987951"/>
    <n v="0.95508691085159836"/>
    <n v="0.89616080714876223"/>
    <n v="18460"/>
    <n v="0.89395156246522811"/>
  </r>
  <r>
    <s v="REC-0710"/>
    <d v="2025-10-24T00:00:00"/>
    <x v="21"/>
    <x v="5"/>
    <x v="5"/>
    <x v="1"/>
    <x v="1"/>
    <x v="2"/>
    <n v="35"/>
    <n v="34"/>
    <n v="0.93561521937226466"/>
    <n v="0.97694704344734684"/>
    <n v="0.92292612732703261"/>
    <n v="15390"/>
    <n v="0.95360251539700336"/>
  </r>
  <r>
    <s v="REC-0711"/>
    <d v="2025-10-24T00:00:00"/>
    <x v="21"/>
    <x v="5"/>
    <x v="5"/>
    <x v="1"/>
    <x v="1"/>
    <x v="2"/>
    <n v="28"/>
    <n v="30"/>
    <n v="0.9686080046127824"/>
    <n v="0.9815642721379928"/>
    <n v="0.95864274176502517"/>
    <n v="14100"/>
    <n v="1.0096866188983282"/>
  </r>
  <r>
    <s v="REC-0712"/>
    <d v="2025-10-24T00:00:00"/>
    <x v="21"/>
    <x v="4"/>
    <x v="4"/>
    <x v="2"/>
    <x v="2"/>
    <x v="1"/>
    <n v="46"/>
    <n v="49"/>
    <n v="0.94830650583926712"/>
    <n v="0.98881263755613868"/>
    <n v="0.98105442186257685"/>
    <n v="22400"/>
    <n v="1.0076963629874922"/>
  </r>
  <r>
    <s v="REC-0713"/>
    <d v="2025-10-27T00:00:00"/>
    <x v="21"/>
    <x v="3"/>
    <x v="3"/>
    <x v="2"/>
    <x v="2"/>
    <x v="0"/>
    <n v="33"/>
    <n v="27"/>
    <n v="0.93247576913199148"/>
    <n v="0.95608429876800749"/>
    <n v="0.95201206010203698"/>
    <n v="11990"/>
    <n v="0.89420672639133369"/>
  </r>
  <r>
    <s v="REC-0714"/>
    <d v="2025-10-27T00:00:00"/>
    <x v="21"/>
    <x v="3"/>
    <x v="3"/>
    <x v="2"/>
    <x v="2"/>
    <x v="0"/>
    <n v="48"/>
    <n v="36"/>
    <n v="0.9167582598316546"/>
    <n v="0.95655635258539518"/>
    <n v="0.96337881592013097"/>
    <n v="16650"/>
    <n v="0.86534878102974921"/>
  </r>
  <r>
    <s v="REC-0715"/>
    <d v="2025-10-28T00:00:00"/>
    <x v="21"/>
    <x v="0"/>
    <x v="0"/>
    <x v="0"/>
    <x v="0"/>
    <x v="0"/>
    <n v="47"/>
    <n v="51"/>
    <n v="0.96001523952733392"/>
    <n v="0.98139821456434839"/>
    <n v="0.9241197323108169"/>
    <n v="27970"/>
    <n v="1.0060800417201383"/>
  </r>
  <r>
    <s v="REC-0716"/>
    <d v="2025-10-28T00:00:00"/>
    <x v="21"/>
    <x v="3"/>
    <x v="3"/>
    <x v="2"/>
    <x v="2"/>
    <x v="0"/>
    <n v="36"/>
    <n v="30"/>
    <n v="0.89605852220762039"/>
    <n v="0.9631040228216462"/>
    <n v="0.91016814347388453"/>
    <n v="15000"/>
    <n v="0.88384719600326223"/>
  </r>
  <r>
    <s v="REC-0717"/>
    <d v="2025-10-30T00:00:00"/>
    <x v="21"/>
    <x v="4"/>
    <x v="4"/>
    <x v="2"/>
    <x v="2"/>
    <x v="1"/>
    <n v="32"/>
    <n v="31"/>
    <n v="0.94493510774819267"/>
    <n v="0.98289683141126771"/>
    <n v="0.98406475385065018"/>
    <n v="15740"/>
    <n v="0.96798125241886834"/>
  </r>
  <r>
    <s v="REC-0718"/>
    <d v="2025-10-31T00:00:00"/>
    <x v="21"/>
    <x v="0"/>
    <x v="0"/>
    <x v="0"/>
    <x v="0"/>
    <x v="0"/>
    <n v="30"/>
    <n v="31"/>
    <n v="0.94232120282611265"/>
    <n v="0.96049681855902691"/>
    <n v="0.93209214689517805"/>
    <n v="16550"/>
    <n v="0.97940658620275123"/>
  </r>
  <r>
    <s v="REC-0719"/>
    <d v="2025-10-31T00:00:00"/>
    <x v="21"/>
    <x v="0"/>
    <x v="0"/>
    <x v="0"/>
    <x v="0"/>
    <x v="0"/>
    <n v="43"/>
    <n v="50"/>
    <n v="0.92290230041221899"/>
    <n v="0.94482357965535191"/>
    <n v="0.93768241434126487"/>
    <n v="27660"/>
    <n v="1.025101873989378"/>
  </r>
  <r>
    <s v="REC-0720"/>
    <d v="2025-10-31T00:00:00"/>
    <x v="21"/>
    <x v="1"/>
    <x v="1"/>
    <x v="0"/>
    <x v="0"/>
    <x v="1"/>
    <n v="53"/>
    <n v="56"/>
    <n v="0.91769795386544306"/>
    <n v="0.96082198467966617"/>
    <n v="0.95868024755166437"/>
    <n v="30840"/>
    <n v="0.98792534511260577"/>
  </r>
  <r>
    <s v="REC-0721"/>
    <d v="2025-10-31T00:00:00"/>
    <x v="21"/>
    <x v="5"/>
    <x v="5"/>
    <x v="1"/>
    <x v="1"/>
    <x v="2"/>
    <n v="43"/>
    <n v="40"/>
    <n v="0.94106439292172683"/>
    <n v="0.98858520336919009"/>
    <n v="0.94421137304671143"/>
    <n v="17390"/>
    <n v="0.94448917660096654"/>
  </r>
  <r>
    <s v="REC-0722"/>
    <d v="2025-10-31T00:00:00"/>
    <x v="21"/>
    <x v="3"/>
    <x v="3"/>
    <x v="2"/>
    <x v="2"/>
    <x v="0"/>
    <n v="55"/>
    <n v="52"/>
    <n v="0.92830787150341165"/>
    <n v="0.94549553501654782"/>
    <n v="0.95473028786544623"/>
    <n v="23870"/>
    <n v="0.94302917388324259"/>
  </r>
  <r>
    <s v="REC-0723"/>
    <d v="2025-11-04T00:00:00"/>
    <x v="22"/>
    <x v="0"/>
    <x v="0"/>
    <x v="0"/>
    <x v="0"/>
    <x v="0"/>
    <n v="33"/>
    <n v="31"/>
    <n v="0.93630487892349312"/>
    <n v="1"/>
    <n v="0.90636724048539741"/>
    <n v="18080"/>
    <n v="0.94110724358552855"/>
  </r>
  <r>
    <s v="REC-0724"/>
    <d v="2025-11-04T00:00:00"/>
    <x v="22"/>
    <x v="2"/>
    <x v="2"/>
    <x v="1"/>
    <x v="1"/>
    <x v="0"/>
    <n v="29"/>
    <n v="29"/>
    <n v="0.94746937994012737"/>
    <n v="0.9622053238770617"/>
    <n v="0.89180702324622252"/>
    <n v="10540"/>
    <n v="0.95955954821583567"/>
  </r>
  <r>
    <s v="REC-0725"/>
    <d v="2025-11-05T00:00:00"/>
    <x v="22"/>
    <x v="5"/>
    <x v="5"/>
    <x v="1"/>
    <x v="1"/>
    <x v="2"/>
    <n v="46"/>
    <n v="48"/>
    <n v="0.9498092642794449"/>
    <n v="0.9578701415409141"/>
    <n v="0.92024431335927026"/>
    <n v="17820"/>
    <n v="0.98257300432067851"/>
  </r>
  <r>
    <s v="REC-0726"/>
    <d v="2025-11-05T00:00:00"/>
    <x v="22"/>
    <x v="5"/>
    <x v="5"/>
    <x v="1"/>
    <x v="1"/>
    <x v="2"/>
    <n v="30"/>
    <n v="35"/>
    <n v="0.96946690260744273"/>
    <n v="0.98196702341353648"/>
    <n v="0.92613348967193077"/>
    <n v="13260"/>
    <n v="1.0415551437649442"/>
  </r>
  <r>
    <s v="REC-0727"/>
    <d v="2025-11-05T00:00:00"/>
    <x v="22"/>
    <x v="4"/>
    <x v="4"/>
    <x v="2"/>
    <x v="2"/>
    <x v="1"/>
    <n v="41"/>
    <n v="42"/>
    <n v="0.9838612268757817"/>
    <n v="0.98393975913479248"/>
    <n v="0.96319723853036499"/>
    <n v="21230"/>
    <n v="0.99595181585621295"/>
  </r>
  <r>
    <s v="REC-0728"/>
    <d v="2025-11-05T00:00:00"/>
    <x v="22"/>
    <x v="4"/>
    <x v="4"/>
    <x v="2"/>
    <x v="2"/>
    <x v="1"/>
    <n v="47"/>
    <n v="49"/>
    <n v="0.92996088480175021"/>
    <n v="0.99273039680503417"/>
    <n v="0.94094167413768048"/>
    <n v="25690"/>
    <n v="0.98660939214447341"/>
  </r>
  <r>
    <s v="REC-0729"/>
    <d v="2025-11-06T00:00:00"/>
    <x v="22"/>
    <x v="5"/>
    <x v="5"/>
    <x v="1"/>
    <x v="1"/>
    <x v="2"/>
    <n v="55"/>
    <n v="61"/>
    <n v="0.99425022748403857"/>
    <n v="0.9922761185812714"/>
    <n v="0.958419647281469"/>
    <n v="25320"/>
    <n v="1.0327242677508579"/>
  </r>
  <r>
    <s v="REC-0730"/>
    <d v="2025-11-07T00:00:00"/>
    <x v="22"/>
    <x v="0"/>
    <x v="0"/>
    <x v="0"/>
    <x v="0"/>
    <x v="0"/>
    <n v="30"/>
    <n v="28"/>
    <n v="0.90016453186919831"/>
    <n v="0.96686544924867313"/>
    <n v="0.95810278299193452"/>
    <n v="17760"/>
    <n v="0.93502484028632094"/>
  </r>
  <r>
    <s v="REC-0731"/>
    <d v="2025-11-07T00:00:00"/>
    <x v="22"/>
    <x v="2"/>
    <x v="2"/>
    <x v="1"/>
    <x v="1"/>
    <x v="0"/>
    <n v="39"/>
    <n v="40"/>
    <n v="0.91863186651403272"/>
    <n v="0.96873025400969248"/>
    <n v="0.8922381816822712"/>
    <n v="15950"/>
    <n v="0.96367155132282656"/>
  </r>
  <r>
    <s v="REC-0732"/>
    <d v="2025-11-07T00:00:00"/>
    <x v="22"/>
    <x v="2"/>
    <x v="2"/>
    <x v="1"/>
    <x v="1"/>
    <x v="0"/>
    <n v="49"/>
    <n v="53"/>
    <n v="0.93064153888519041"/>
    <n v="0.93143160709116424"/>
    <n v="0.87598686506058243"/>
    <n v="21750"/>
    <n v="0.98022556002157857"/>
  </r>
  <r>
    <s v="REC-0733"/>
    <d v="2025-11-07T00:00:00"/>
    <x v="22"/>
    <x v="3"/>
    <x v="3"/>
    <x v="2"/>
    <x v="2"/>
    <x v="0"/>
    <n v="34"/>
    <n v="30"/>
    <n v="0.90726987172712081"/>
    <n v="0.99136171312117716"/>
    <n v="0.94635094415163912"/>
    <n v="12880"/>
    <n v="0.9177330902008729"/>
  </r>
  <r>
    <s v="REC-0734"/>
    <d v="2025-11-07T00:00:00"/>
    <x v="22"/>
    <x v="4"/>
    <x v="4"/>
    <x v="2"/>
    <x v="2"/>
    <x v="1"/>
    <n v="38"/>
    <n v="38"/>
    <n v="0.92723484887247498"/>
    <n v="0.94514249373229919"/>
    <n v="0.89264502779831689"/>
    <n v="17160"/>
    <n v="0.95210909183762693"/>
  </r>
  <r>
    <s v="REC-0735"/>
    <d v="2025-11-10T00:00:00"/>
    <x v="22"/>
    <x v="2"/>
    <x v="2"/>
    <x v="1"/>
    <x v="1"/>
    <x v="0"/>
    <n v="49"/>
    <n v="44"/>
    <n v="0.8924812849797833"/>
    <n v="0.96754814903822839"/>
    <n v="0.83947341238479589"/>
    <n v="18070"/>
    <n v="0.89533089954702705"/>
  </r>
  <r>
    <s v="REC-0736"/>
    <d v="2025-11-10T00:00:00"/>
    <x v="22"/>
    <x v="2"/>
    <x v="2"/>
    <x v="1"/>
    <x v="1"/>
    <x v="0"/>
    <n v="43"/>
    <n v="36"/>
    <n v="0.87561957695061166"/>
    <n v="0.94488878401464638"/>
    <n v="0.88795562733826594"/>
    <n v="14260"/>
    <n v="0.87311305823773566"/>
  </r>
  <r>
    <s v="REC-0737"/>
    <d v="2025-11-11T00:00:00"/>
    <x v="22"/>
    <x v="4"/>
    <x v="4"/>
    <x v="2"/>
    <x v="2"/>
    <x v="1"/>
    <n v="48"/>
    <n v="53"/>
    <n v="0.98515686636938427"/>
    <n v="0.97046184498860277"/>
    <n v="0.995"/>
    <n v="23920"/>
    <n v="1.0325251600073033"/>
  </r>
  <r>
    <s v="REC-0738"/>
    <d v="2025-11-13T00:00:00"/>
    <x v="22"/>
    <x v="0"/>
    <x v="0"/>
    <x v="0"/>
    <x v="0"/>
    <x v="0"/>
    <n v="51"/>
    <n v="52"/>
    <n v="0.93048793235779148"/>
    <n v="0.97974840634205174"/>
    <n v="0.93116607647881855"/>
    <n v="26010"/>
    <n v="0.97366059659142135"/>
  </r>
  <r>
    <s v="REC-0739"/>
    <d v="2025-11-14T00:00:00"/>
    <x v="22"/>
    <x v="1"/>
    <x v="1"/>
    <x v="0"/>
    <x v="0"/>
    <x v="1"/>
    <n v="44"/>
    <n v="43"/>
    <n v="0.94149969835393044"/>
    <n v="0.97302803189282583"/>
    <n v="0.96423529972169686"/>
    <n v="23700"/>
    <n v="0.96508528022583673"/>
  </r>
  <r>
    <s v="REC-0740"/>
    <d v="2025-11-14T00:00:00"/>
    <x v="22"/>
    <x v="2"/>
    <x v="2"/>
    <x v="1"/>
    <x v="1"/>
    <x v="0"/>
    <n v="53"/>
    <n v="47"/>
    <n v="0.92346133159879196"/>
    <n v="0.94903675095496276"/>
    <n v="0.86112997702202954"/>
    <n v="18600"/>
    <n v="0.90016382207942391"/>
  </r>
  <r>
    <s v="REC-0741"/>
    <d v="2025-11-14T00:00:00"/>
    <x v="22"/>
    <x v="5"/>
    <x v="5"/>
    <x v="1"/>
    <x v="1"/>
    <x v="2"/>
    <n v="46"/>
    <n v="48"/>
    <n v="0.93559811438205198"/>
    <n v="0.9850083150808373"/>
    <n v="0.9158935986040152"/>
    <n v="19770"/>
    <n v="0.98222079992626776"/>
  </r>
  <r>
    <s v="REC-0742"/>
    <d v="2025-11-14T00:00:00"/>
    <x v="22"/>
    <x v="4"/>
    <x v="4"/>
    <x v="2"/>
    <x v="2"/>
    <x v="1"/>
    <n v="34"/>
    <n v="32"/>
    <n v="0.95854571242600628"/>
    <n v="0.94929802672397523"/>
    <n v="0.995"/>
    <n v="17070"/>
    <n v="0.95750172035039194"/>
  </r>
  <r>
    <s v="REC-0743"/>
    <d v="2025-11-17T00:00:00"/>
    <x v="22"/>
    <x v="1"/>
    <x v="1"/>
    <x v="0"/>
    <x v="0"/>
    <x v="1"/>
    <n v="32"/>
    <n v="32"/>
    <n v="0.93073237579691803"/>
    <n v="0.98863476069337597"/>
    <n v="0.9542529801568147"/>
    <n v="17680"/>
    <n v="0.97182890408459888"/>
  </r>
  <r>
    <s v="REC-0744"/>
    <d v="2025-11-21T00:00:00"/>
    <x v="22"/>
    <x v="0"/>
    <x v="0"/>
    <x v="0"/>
    <x v="0"/>
    <x v="0"/>
    <n v="51"/>
    <n v="51"/>
    <n v="0.92116856639155331"/>
    <n v="0.98300506191903247"/>
    <n v="0.90158230230369341"/>
    <n v="26100"/>
    <n v="0.95805936134648195"/>
  </r>
  <r>
    <s v="REC-0745"/>
    <d v="2025-11-27T00:00:00"/>
    <x v="22"/>
    <x v="1"/>
    <x v="1"/>
    <x v="0"/>
    <x v="0"/>
    <x v="1"/>
    <n v="42"/>
    <n v="46"/>
    <n v="0.92582523836873121"/>
    <n v="0.98194269172239712"/>
    <n v="0.87662341332909399"/>
    <n v="24970"/>
    <n v="0.99216763411159936"/>
  </r>
  <r>
    <s v="REC-0746"/>
    <d v="2025-11-28T00:00:00"/>
    <x v="22"/>
    <x v="1"/>
    <x v="1"/>
    <x v="0"/>
    <x v="0"/>
    <x v="1"/>
    <n v="37"/>
    <n v="38"/>
    <n v="0.91784963883084791"/>
    <n v="0.95594526733632801"/>
    <n v="0.90579842641147845"/>
    <n v="21320"/>
    <n v="0.96482469590126785"/>
  </r>
  <r>
    <s v="REC-0747"/>
    <d v="2025-11-28T00:00:00"/>
    <x v="22"/>
    <x v="1"/>
    <x v="1"/>
    <x v="0"/>
    <x v="0"/>
    <x v="1"/>
    <n v="38"/>
    <n v="35"/>
    <n v="0.96589127716590462"/>
    <n v="0.94273714249104967"/>
    <n v="0.89536536849942761"/>
    <n v="21750"/>
    <n v="0.9303775169965981"/>
  </r>
  <r>
    <s v="REC-0748"/>
    <d v="2025-11-28T00:00:00"/>
    <x v="22"/>
    <x v="2"/>
    <x v="2"/>
    <x v="1"/>
    <x v="1"/>
    <x v="0"/>
    <n v="52"/>
    <n v="55"/>
    <n v="0.95269688340836323"/>
    <n v="0.9604528741209799"/>
    <n v="0.88780976975959724"/>
    <n v="22980"/>
    <n v="0.98288102899908036"/>
  </r>
  <r>
    <s v="REC-0749"/>
    <d v="2025-11-28T00:00:00"/>
    <x v="22"/>
    <x v="2"/>
    <x v="2"/>
    <x v="1"/>
    <x v="1"/>
    <x v="0"/>
    <n v="49"/>
    <n v="47"/>
    <n v="0.89411119783290682"/>
    <n v="0.95577868583808845"/>
    <n v="0.87956048388480823"/>
    <n v="21200"/>
    <n v="0.92648016849865666"/>
  </r>
  <r>
    <s v="REC-0750"/>
    <d v="2025-11-28T00:00:00"/>
    <x v="22"/>
    <x v="3"/>
    <x v="3"/>
    <x v="2"/>
    <x v="2"/>
    <x v="0"/>
    <n v="46"/>
    <n v="38"/>
    <n v="0.87617397758752424"/>
    <n v="0.93873938247460553"/>
    <n v="0.995"/>
    <n v="16590"/>
    <n v="0.88928918437676763"/>
  </r>
  <r>
    <s v="REC-0751"/>
    <d v="2025-11-28T00:00:00"/>
    <x v="22"/>
    <x v="3"/>
    <x v="3"/>
    <x v="2"/>
    <x v="2"/>
    <x v="0"/>
    <n v="50"/>
    <n v="45"/>
    <n v="0.94811236846816149"/>
    <n v="0.97997226820415917"/>
    <n v="0.91149566305607133"/>
    <n v="18340"/>
    <n v="0.92632306495887851"/>
  </r>
  <r>
    <s v="REC-0752"/>
    <d v="2025-12-01T00:00:00"/>
    <x v="23"/>
    <x v="1"/>
    <x v="1"/>
    <x v="0"/>
    <x v="0"/>
    <x v="1"/>
    <n v="47"/>
    <n v="49"/>
    <n v="0.88169180377154532"/>
    <n v="0.95522801533951984"/>
    <n v="0.94685254392480167"/>
    <n v="27250"/>
    <n v="0.97009893862451935"/>
  </r>
  <r>
    <s v="REC-0753"/>
    <d v="2025-12-01T00:00:00"/>
    <x v="23"/>
    <x v="1"/>
    <x v="1"/>
    <x v="0"/>
    <x v="0"/>
    <x v="1"/>
    <n v="41"/>
    <n v="42"/>
    <n v="0.89336382220530752"/>
    <n v="0.97707044189545378"/>
    <n v="0.995"/>
    <n v="23800"/>
    <n v="0.97865761939662077"/>
  </r>
  <r>
    <s v="REC-0754"/>
    <d v="2025-12-02T00:00:00"/>
    <x v="23"/>
    <x v="2"/>
    <x v="2"/>
    <x v="1"/>
    <x v="1"/>
    <x v="0"/>
    <n v="40"/>
    <n v="39"/>
    <n v="0.92091210874275076"/>
    <n v="0.94883330158164547"/>
    <n v="0.90506431464288906"/>
    <n v="14220"/>
    <n v="0.94356588535151231"/>
  </r>
  <r>
    <s v="REC-0755"/>
    <d v="2025-12-05T00:00:00"/>
    <x v="23"/>
    <x v="1"/>
    <x v="1"/>
    <x v="0"/>
    <x v="0"/>
    <x v="1"/>
    <n v="33"/>
    <n v="32"/>
    <n v="0.92697930341206214"/>
    <n v="0.96674322897769305"/>
    <n v="0.95053919939550224"/>
    <n v="17320"/>
    <n v="0.95474293795755782"/>
  </r>
  <r>
    <s v="REC-0756"/>
    <d v="2025-12-05T00:00:00"/>
    <x v="23"/>
    <x v="5"/>
    <x v="5"/>
    <x v="1"/>
    <x v="1"/>
    <x v="2"/>
    <n v="31"/>
    <n v="28"/>
    <n v="0.90814620889793851"/>
    <n v="0.9714390555305471"/>
    <n v="0.93410471443045118"/>
    <n v="13190"/>
    <n v="0.92086367602080221"/>
  </r>
  <r>
    <s v="REC-0757"/>
    <d v="2025-12-05T00:00:00"/>
    <x v="23"/>
    <x v="5"/>
    <x v="5"/>
    <x v="1"/>
    <x v="1"/>
    <x v="2"/>
    <n v="44"/>
    <n v="48"/>
    <n v="0.93774270588256237"/>
    <n v="0.9752392819312089"/>
    <n v="0.91066102678807759"/>
    <n v="20230"/>
    <n v="0.99921741048157386"/>
  </r>
  <r>
    <s v="REC-0758"/>
    <d v="2025-12-05T00:00:00"/>
    <x v="23"/>
    <x v="3"/>
    <x v="3"/>
    <x v="2"/>
    <x v="2"/>
    <x v="0"/>
    <n v="28"/>
    <n v="30"/>
    <n v="0.90263558662460852"/>
    <n v="0.98350075069288179"/>
    <n v="0.90910460625862"/>
    <n v="12780"/>
    <n v="0.98357635908323704"/>
  </r>
  <r>
    <s v="REC-0759"/>
    <d v="2025-12-05T00:00:00"/>
    <x v="23"/>
    <x v="4"/>
    <x v="4"/>
    <x v="2"/>
    <x v="2"/>
    <x v="1"/>
    <n v="51"/>
    <n v="61"/>
    <n v="0.98318229741199625"/>
    <n v="0.97537618932553882"/>
    <n v="0.98008797613645648"/>
    <n v="27510"/>
    <n v="1.0665509705281409"/>
  </r>
  <r>
    <s v="REC-0760"/>
    <d v="2025-12-09T00:00:00"/>
    <x v="23"/>
    <x v="1"/>
    <x v="1"/>
    <x v="0"/>
    <x v="0"/>
    <x v="1"/>
    <n v="41"/>
    <n v="35"/>
    <n v="0.91166408107159569"/>
    <n v="0.93570162335718565"/>
    <n v="0.99432367987348402"/>
    <n v="19550"/>
    <n v="0.90859941438031999"/>
  </r>
  <r>
    <s v="REC-0761"/>
    <d v="2025-12-11T00:00:00"/>
    <x v="23"/>
    <x v="3"/>
    <x v="3"/>
    <x v="2"/>
    <x v="2"/>
    <x v="0"/>
    <n v="54"/>
    <n v="56"/>
    <n v="0.9541065613565648"/>
    <n v="0.92904199455451808"/>
    <n v="0.91624217016781206"/>
    <n v="23620"/>
    <n v="0.97594618837069613"/>
  </r>
  <r>
    <s v="REC-0762"/>
    <d v="2025-12-12T00:00:00"/>
    <x v="23"/>
    <x v="0"/>
    <x v="0"/>
    <x v="0"/>
    <x v="0"/>
    <x v="0"/>
    <n v="45"/>
    <n v="43"/>
    <n v="0.96368409096948549"/>
    <n v="0.98052103073999053"/>
    <n v="0.95307275798669655"/>
    <n v="22180"/>
    <n v="0.96083595117293152"/>
  </r>
  <r>
    <s v="REC-0763"/>
    <d v="2025-12-12T00:00:00"/>
    <x v="23"/>
    <x v="5"/>
    <x v="5"/>
    <x v="1"/>
    <x v="1"/>
    <x v="2"/>
    <n v="43"/>
    <n v="40"/>
    <n v="0.92002219846205424"/>
    <n v="1"/>
    <n v="0.93804092036794295"/>
    <n v="16630"/>
    <n v="0.93970675694491612"/>
  </r>
  <r>
    <s v="REC-0764"/>
    <d v="2025-12-12T00:00:00"/>
    <x v="23"/>
    <x v="5"/>
    <x v="5"/>
    <x v="1"/>
    <x v="1"/>
    <x v="2"/>
    <n v="53"/>
    <n v="56"/>
    <n v="0.95567893356464595"/>
    <n v="0.98003620349617626"/>
    <n v="0.9048258602816931"/>
    <n v="22180"/>
    <n v="0.9895318454058889"/>
  </r>
  <r>
    <s v="REC-0765"/>
    <d v="2025-12-12T00:00:00"/>
    <x v="23"/>
    <x v="3"/>
    <x v="3"/>
    <x v="2"/>
    <x v="2"/>
    <x v="0"/>
    <n v="39"/>
    <n v="34"/>
    <n v="0.94177773951139887"/>
    <n v="0.92841990730425672"/>
    <n v="0.91319490328996877"/>
    <n v="17180"/>
    <n v="0.90606435034943078"/>
  </r>
  <r>
    <s v="REC-0766"/>
    <d v="2025-12-15T00:00:00"/>
    <x v="23"/>
    <x v="1"/>
    <x v="1"/>
    <x v="0"/>
    <x v="0"/>
    <x v="1"/>
    <n v="49"/>
    <n v="40"/>
    <n v="0.94870400148155909"/>
    <n v="0.97731051533743007"/>
    <n v="0.995"/>
    <n v="22370"/>
    <n v="0.90930318991590231"/>
  </r>
  <r>
    <s v="REC-0767"/>
    <d v="2025-12-18T00:00:00"/>
    <x v="23"/>
    <x v="1"/>
    <x v="1"/>
    <x v="0"/>
    <x v="0"/>
    <x v="1"/>
    <n v="54"/>
    <n v="53"/>
    <n v="0.90190211610688442"/>
    <n v="0.95902470315161936"/>
    <n v="0.96053732096194211"/>
    <n v="26970"/>
    <n v="0.95402929128444502"/>
  </r>
  <r>
    <s v="REC-0768"/>
    <d v="2025-12-18T00:00:00"/>
    <x v="23"/>
    <x v="3"/>
    <x v="3"/>
    <x v="2"/>
    <x v="2"/>
    <x v="0"/>
    <n v="37"/>
    <n v="35"/>
    <n v="0.92364483018291765"/>
    <n v="0.96475731714388624"/>
    <n v="0.94209006564796249"/>
    <n v="18290"/>
    <n v="0.94242119662528334"/>
  </r>
  <r>
    <s v="REC-0769"/>
    <d v="2025-12-19T00:00:00"/>
    <x v="23"/>
    <x v="0"/>
    <x v="0"/>
    <x v="0"/>
    <x v="0"/>
    <x v="0"/>
    <n v="41"/>
    <n v="43"/>
    <n v="0.95049276038837738"/>
    <n v="0.95772074168665566"/>
    <n v="0.9304219401936753"/>
    <n v="27640"/>
    <n v="0.98687788451077896"/>
  </r>
  <r>
    <s v="REC-0770"/>
    <d v="2025-12-19T00:00:00"/>
    <x v="23"/>
    <x v="4"/>
    <x v="4"/>
    <x v="2"/>
    <x v="2"/>
    <x v="1"/>
    <n v="49"/>
    <n v="51"/>
    <n v="0.96887479507009144"/>
    <n v="0.98599677830474819"/>
    <n v="0.93708800675307913"/>
    <n v="24760"/>
    <n v="0.99386234747609581"/>
  </r>
  <r>
    <s v="REC-0771"/>
    <d v="2025-12-24T00:00:00"/>
    <x v="23"/>
    <x v="1"/>
    <x v="1"/>
    <x v="0"/>
    <x v="0"/>
    <x v="1"/>
    <n v="42"/>
    <n v="41"/>
    <n v="0.91583694522903125"/>
    <n v="0.95230892160805569"/>
    <n v="0.9080580147115993"/>
    <n v="25560"/>
    <n v="0.94389336796697654"/>
  </r>
  <r>
    <s v="REC-0772"/>
    <d v="2025-12-24T00:00:00"/>
    <x v="23"/>
    <x v="5"/>
    <x v="5"/>
    <x v="1"/>
    <x v="1"/>
    <x v="2"/>
    <n v="42"/>
    <n v="40"/>
    <n v="0.94238068572798295"/>
    <n v="0.95676546624652559"/>
    <n v="0.92217246515895646"/>
    <n v="17060"/>
    <n v="0.94449686535314681"/>
  </r>
  <r>
    <s v="REC-0773"/>
    <d v="2025-12-24T00:00:00"/>
    <x v="23"/>
    <x v="4"/>
    <x v="4"/>
    <x v="2"/>
    <x v="2"/>
    <x v="1"/>
    <n v="37"/>
    <n v="39"/>
    <n v="0.93740214697848168"/>
    <n v="0.96433808083761141"/>
    <n v="0.91339896563197476"/>
    <n v="20280"/>
    <n v="0.98330266361827867"/>
  </r>
  <r>
    <s v="REC-0774"/>
    <d v="2025-12-25T00:00:00"/>
    <x v="23"/>
    <x v="1"/>
    <x v="1"/>
    <x v="0"/>
    <x v="0"/>
    <x v="1"/>
    <n v="52"/>
    <n v="47"/>
    <n v="0.92528659267724389"/>
    <n v="0.97747584694787348"/>
    <n v="0.91092750664944211"/>
    <n v="28020"/>
    <n v="0.92166698807984204"/>
  </r>
  <r>
    <s v="REC-0775"/>
    <d v="2025-12-26T00:00:00"/>
    <x v="23"/>
    <x v="3"/>
    <x v="3"/>
    <x v="2"/>
    <x v="2"/>
    <x v="0"/>
    <n v="31"/>
    <n v="32"/>
    <n v="0.91737682062145687"/>
    <n v="0.9536672489788206"/>
    <n v="0.93335893610511922"/>
    <n v="13580"/>
    <n v="0.97196930552966276"/>
  </r>
  <r>
    <s v="REC-0776"/>
    <d v="2025-12-26T00:00:00"/>
    <x v="23"/>
    <x v="3"/>
    <x v="3"/>
    <x v="2"/>
    <x v="2"/>
    <x v="0"/>
    <n v="29"/>
    <n v="28"/>
    <n v="0.94428207146012111"/>
    <n v="0.97242535810060027"/>
    <n v="0.92183572918164791"/>
    <n v="14100"/>
    <n v="0.95250836396817407"/>
  </r>
  <r>
    <s v="REC-0777"/>
    <d v="2025-12-26T00:00:00"/>
    <x v="23"/>
    <x v="4"/>
    <x v="4"/>
    <x v="2"/>
    <x v="2"/>
    <x v="1"/>
    <n v="46"/>
    <n v="48"/>
    <n v="0.995"/>
    <n v="0.96175980621875701"/>
    <n v="0.995"/>
    <n v="26320"/>
    <n v="1.0094052752806397"/>
  </r>
  <r>
    <s v="REC-0778"/>
    <d v="2025-12-29T00:00:00"/>
    <x v="23"/>
    <x v="2"/>
    <x v="2"/>
    <x v="1"/>
    <x v="1"/>
    <x v="0"/>
    <n v="50"/>
    <n v="52"/>
    <n v="0.88803312749332675"/>
    <n v="0.95581863217472884"/>
    <n v="0.85901307605787791"/>
    <n v="18630"/>
    <n v="0.95318369191111663"/>
  </r>
  <r>
    <s v="REC-0779"/>
    <d v="2025-12-30T00:00:00"/>
    <x v="23"/>
    <x v="1"/>
    <x v="1"/>
    <x v="0"/>
    <x v="0"/>
    <x v="1"/>
    <n v="51"/>
    <n v="48"/>
    <n v="0.90817481836118863"/>
    <n v="0.94275713094457159"/>
    <n v="0.981470961744487"/>
    <n v="25360"/>
    <n v="0.94122205481617438"/>
  </r>
  <r>
    <s v="REC-0780"/>
    <d v="2026-01-01T00:00:00"/>
    <x v="24"/>
    <x v="4"/>
    <x v="4"/>
    <x v="2"/>
    <x v="2"/>
    <x v="1"/>
    <n v="48"/>
    <n v="52"/>
    <n v="0.975835244138064"/>
    <n v="1"/>
    <n v="0.98437193026146463"/>
    <n v="25050"/>
    <n v="1.0241665304201424"/>
  </r>
  <r>
    <s v="REC-0781"/>
    <d v="2026-01-02T00:00:00"/>
    <x v="24"/>
    <x v="4"/>
    <x v="4"/>
    <x v="2"/>
    <x v="2"/>
    <x v="1"/>
    <n v="54"/>
    <n v="61"/>
    <n v="0.97600636630567439"/>
    <n v="0.99077313975127634"/>
    <n v="0.93004778353426065"/>
    <n v="29450"/>
    <n v="1.0304789710978139"/>
  </r>
  <r>
    <s v="REC-0782"/>
    <d v="2026-01-05T00:00:00"/>
    <x v="24"/>
    <x v="0"/>
    <x v="0"/>
    <x v="0"/>
    <x v="0"/>
    <x v="0"/>
    <n v="38"/>
    <n v="42"/>
    <n v="0.97237264248800992"/>
    <n v="0.98934125059254241"/>
    <n v="0.90431976163024763"/>
    <n v="21970"/>
    <n v="1.014463563694828"/>
  </r>
  <r>
    <s v="REC-0783"/>
    <d v="2026-01-05T00:00:00"/>
    <x v="24"/>
    <x v="2"/>
    <x v="2"/>
    <x v="1"/>
    <x v="1"/>
    <x v="0"/>
    <n v="39"/>
    <n v="41"/>
    <n v="0.90176150448703685"/>
    <n v="0.93355307654978759"/>
    <n v="0.86919860497408374"/>
    <n v="17880"/>
    <n v="0.95982587911186457"/>
  </r>
  <r>
    <s v="REC-0784"/>
    <d v="2026-01-07T00:00:00"/>
    <x v="24"/>
    <x v="2"/>
    <x v="2"/>
    <x v="1"/>
    <x v="1"/>
    <x v="0"/>
    <n v="38"/>
    <n v="36"/>
    <n v="0.9137653276495511"/>
    <n v="0.93517827529124187"/>
    <n v="0.91285353867210439"/>
    <n v="15930"/>
    <n v="0.93023614936154753"/>
  </r>
  <r>
    <s v="REC-0785"/>
    <d v="2026-01-08T00:00:00"/>
    <x v="24"/>
    <x v="1"/>
    <x v="1"/>
    <x v="0"/>
    <x v="0"/>
    <x v="1"/>
    <n v="38"/>
    <n v="39"/>
    <n v="0.93748204805133761"/>
    <n v="0.98018062182285903"/>
    <n v="0.94923322660503684"/>
    <n v="23830"/>
    <n v="0.98177056639674443"/>
  </r>
  <r>
    <s v="REC-0786"/>
    <d v="2026-01-08T00:00:00"/>
    <x v="24"/>
    <x v="3"/>
    <x v="3"/>
    <x v="2"/>
    <x v="2"/>
    <x v="0"/>
    <n v="42"/>
    <n v="39"/>
    <n v="0.92157672057301265"/>
    <n v="0.96856228118274679"/>
    <n v="0.97849767760052786"/>
    <n v="17170"/>
    <n v="0.94280662926934222"/>
  </r>
  <r>
    <s v="REC-0787"/>
    <d v="2026-01-09T00:00:00"/>
    <x v="24"/>
    <x v="1"/>
    <x v="1"/>
    <x v="0"/>
    <x v="0"/>
    <x v="1"/>
    <n v="48"/>
    <n v="48"/>
    <n v="0.89606926268729903"/>
    <n v="0.95818798844250908"/>
    <n v="0.92498833520391521"/>
    <n v="23970"/>
    <n v="0.95274318097898414"/>
  </r>
  <r>
    <s v="REC-0788"/>
    <d v="2026-01-09T00:00:00"/>
    <x v="24"/>
    <x v="3"/>
    <x v="3"/>
    <x v="2"/>
    <x v="2"/>
    <x v="0"/>
    <n v="54"/>
    <n v="54"/>
    <n v="0.95219889431357174"/>
    <n v="0.94871188340852974"/>
    <n v="0.90744322976716174"/>
    <n v="27500"/>
    <n v="0.96184515204310483"/>
  </r>
  <r>
    <s v="REC-0789"/>
    <d v="2026-01-09T00:00:00"/>
    <x v="24"/>
    <x v="4"/>
    <x v="4"/>
    <x v="2"/>
    <x v="2"/>
    <x v="1"/>
    <n v="51"/>
    <n v="51"/>
    <n v="0.95462962189863143"/>
    <n v="0.97762800739962274"/>
    <n v="0.98159116499547205"/>
    <n v="23980"/>
    <n v="0.9816198395836957"/>
  </r>
  <r>
    <s v="REC-0790"/>
    <d v="2026-01-13T00:00:00"/>
    <x v="24"/>
    <x v="1"/>
    <x v="1"/>
    <x v="0"/>
    <x v="0"/>
    <x v="1"/>
    <n v="50"/>
    <n v="51"/>
    <n v="0.95427500582696356"/>
    <n v="0.96852416585951584"/>
    <n v="0.8926233092717788"/>
    <n v="29660"/>
    <n v="0.97037203819002404"/>
  </r>
  <r>
    <s v="REC-0791"/>
    <d v="2026-01-15T00:00:00"/>
    <x v="24"/>
    <x v="5"/>
    <x v="5"/>
    <x v="1"/>
    <x v="1"/>
    <x v="2"/>
    <n v="49"/>
    <n v="55"/>
    <n v="0.89916830479425125"/>
    <n v="0.98512254767500496"/>
    <n v="0.95606790605492242"/>
    <n v="22890"/>
    <n v="1.0127536313975327"/>
  </r>
  <r>
    <s v="REC-0792"/>
    <d v="2026-01-15T00:00:00"/>
    <x v="24"/>
    <x v="4"/>
    <x v="4"/>
    <x v="2"/>
    <x v="2"/>
    <x v="1"/>
    <n v="36"/>
    <n v="40"/>
    <n v="0.95903335757982477"/>
    <n v="0.95381854611747907"/>
    <n v="0.97056723456177785"/>
    <n v="16800"/>
    <n v="1.0213890126693781"/>
  </r>
  <r>
    <s v="REC-0793"/>
    <d v="2026-01-16T00:00:00"/>
    <x v="24"/>
    <x v="0"/>
    <x v="0"/>
    <x v="0"/>
    <x v="0"/>
    <x v="0"/>
    <n v="32"/>
    <n v="33"/>
    <n v="0.90888512740882765"/>
    <n v="0.94204122482386909"/>
    <n v="0.9710998650082775"/>
    <n v="19060"/>
    <n v="0.97524743857744278"/>
  </r>
  <r>
    <s v="REC-0794"/>
    <d v="2026-01-16T00:00:00"/>
    <x v="24"/>
    <x v="5"/>
    <x v="5"/>
    <x v="1"/>
    <x v="1"/>
    <x v="2"/>
    <n v="40"/>
    <n v="37"/>
    <n v="0.94894807049385999"/>
    <n v="0.99910484785021569"/>
    <n v="0.89050279795957676"/>
    <n v="15270"/>
    <n v="0.93520330439291277"/>
  </r>
  <r>
    <s v="REC-0795"/>
    <d v="2026-01-16T00:00:00"/>
    <x v="24"/>
    <x v="4"/>
    <x v="4"/>
    <x v="2"/>
    <x v="2"/>
    <x v="1"/>
    <n v="53"/>
    <n v="56"/>
    <n v="0.995"/>
    <n v="0.96229127029550721"/>
    <n v="0.96809020118263667"/>
    <n v="27790"/>
    <n v="1.0093532402148158"/>
  </r>
  <r>
    <s v="REC-0796"/>
    <d v="2026-01-19T00:00:00"/>
    <x v="24"/>
    <x v="3"/>
    <x v="3"/>
    <x v="2"/>
    <x v="2"/>
    <x v="0"/>
    <n v="43"/>
    <n v="46"/>
    <n v="0.87064161656726391"/>
    <n v="0.95086405934103169"/>
    <n v="0.93714353810132789"/>
    <n v="22000"/>
    <n v="0.97562569740742244"/>
  </r>
  <r>
    <s v="REC-0797"/>
    <d v="2026-01-20T00:00:00"/>
    <x v="24"/>
    <x v="2"/>
    <x v="2"/>
    <x v="1"/>
    <x v="1"/>
    <x v="0"/>
    <n v="34"/>
    <n v="35"/>
    <n v="0.90711151956418234"/>
    <n v="0.94780970067002213"/>
    <n v="0.86975153319722753"/>
    <n v="12270"/>
    <n v="0.95466434751334739"/>
  </r>
  <r>
    <s v="REC-0798"/>
    <d v="2026-01-21T00:00:00"/>
    <x v="24"/>
    <x v="2"/>
    <x v="2"/>
    <x v="1"/>
    <x v="1"/>
    <x v="0"/>
    <n v="30"/>
    <n v="29"/>
    <n v="0.89517321278887441"/>
    <n v="0.95463355870252353"/>
    <n v="0.92194146542069499"/>
    <n v="10340"/>
    <n v="0.9380432967534027"/>
  </r>
  <r>
    <s v="REC-0799"/>
    <d v="2026-01-21T00:00:00"/>
    <x v="24"/>
    <x v="2"/>
    <x v="2"/>
    <x v="1"/>
    <x v="1"/>
    <x v="0"/>
    <n v="52"/>
    <n v="46"/>
    <n v="0.90316175625240447"/>
    <n v="0.92417685663496807"/>
    <n v="0.92031161896085445"/>
    <n v="19320"/>
    <n v="0.90232544519667102"/>
  </r>
  <r>
    <s v="REC-0800"/>
    <d v="2026-01-21T00:00:00"/>
    <x v="24"/>
    <x v="3"/>
    <x v="3"/>
    <x v="2"/>
    <x v="2"/>
    <x v="0"/>
    <n v="55"/>
    <n v="52"/>
    <n v="0.95468204277239299"/>
    <n v="0.96144991269214042"/>
    <n v="0.90759277335186628"/>
    <n v="21570"/>
    <n v="0.9425883704491107"/>
  </r>
  <r>
    <s v="REC-0801"/>
    <d v="2026-01-22T00:00:00"/>
    <x v="24"/>
    <x v="2"/>
    <x v="2"/>
    <x v="1"/>
    <x v="1"/>
    <x v="0"/>
    <n v="45"/>
    <n v="45"/>
    <n v="0.85306775742067531"/>
    <n v="0.93566766708788685"/>
    <n v="0.89159285617934148"/>
    <n v="17790"/>
    <n v="0.93193566065422018"/>
  </r>
  <r>
    <s v="REC-0802"/>
    <d v="2026-01-23T00:00:00"/>
    <x v="24"/>
    <x v="5"/>
    <x v="5"/>
    <x v="1"/>
    <x v="1"/>
    <x v="2"/>
    <n v="49"/>
    <n v="50"/>
    <n v="0.96119594523109786"/>
    <n v="0.97089891439761389"/>
    <n v="0.88894223768209035"/>
    <n v="20120"/>
    <n v="0.97188553630995711"/>
  </r>
  <r>
    <s v="REC-0803"/>
    <d v="2026-01-23T00:00:00"/>
    <x v="24"/>
    <x v="4"/>
    <x v="4"/>
    <x v="2"/>
    <x v="2"/>
    <x v="1"/>
    <n v="44"/>
    <n v="48"/>
    <n v="0.97350655417759402"/>
    <n v="0.98266387533507427"/>
    <n v="0.94646996075009204"/>
    <n v="25910"/>
    <n v="1.0164338483583144"/>
  </r>
  <r>
    <s v="REC-0804"/>
    <d v="2026-01-26T00:00:00"/>
    <x v="24"/>
    <x v="0"/>
    <x v="0"/>
    <x v="0"/>
    <x v="0"/>
    <x v="0"/>
    <n v="39"/>
    <n v="43"/>
    <n v="0.91438138170999728"/>
    <n v="0.95021249819954567"/>
    <n v="0.91207573762669425"/>
    <n v="23560"/>
    <n v="0.994568008708411"/>
  </r>
  <r>
    <s v="REC-0805"/>
    <d v="2026-01-26T00:00:00"/>
    <x v="24"/>
    <x v="4"/>
    <x v="4"/>
    <x v="2"/>
    <x v="2"/>
    <x v="1"/>
    <n v="32"/>
    <n v="35"/>
    <n v="0.96447579042284448"/>
    <n v="0.97147870579105056"/>
    <n v="0.97686872057103813"/>
    <n v="18730"/>
    <n v="1.0197144975885764"/>
  </r>
  <r>
    <s v="REC-0806"/>
    <d v="2026-01-29T00:00:00"/>
    <x v="24"/>
    <x v="1"/>
    <x v="1"/>
    <x v="0"/>
    <x v="0"/>
    <x v="1"/>
    <n v="51"/>
    <n v="50"/>
    <n v="0.90300479081421436"/>
    <n v="0.98406406975710758"/>
    <n v="0.96697828328691937"/>
    <n v="26390"/>
    <n v="0.95891332756960168"/>
  </r>
  <r>
    <s v="REC-0807"/>
    <d v="2026-01-30T00:00:00"/>
    <x v="24"/>
    <x v="1"/>
    <x v="1"/>
    <x v="0"/>
    <x v="0"/>
    <x v="1"/>
    <n v="41"/>
    <n v="44"/>
    <n v="0.88392443914030028"/>
    <n v="0.98328129153407162"/>
    <n v="0.96339689082384983"/>
    <n v="24450"/>
    <n v="0.99042097436288268"/>
  </r>
  <r>
    <s v="REC-0808"/>
    <d v="2026-01-30T00:00:00"/>
    <x v="24"/>
    <x v="2"/>
    <x v="2"/>
    <x v="1"/>
    <x v="1"/>
    <x v="0"/>
    <n v="55"/>
    <n v="49"/>
    <n v="0.9069739732059755"/>
    <n v="0.95044480197490144"/>
    <n v="0.92846663239632787"/>
    <n v="20950"/>
    <n v="0.91136717644063103"/>
  </r>
  <r>
    <s v="REC-0809"/>
    <d v="2026-01-30T00:00:00"/>
    <x v="24"/>
    <x v="4"/>
    <x v="4"/>
    <x v="2"/>
    <x v="2"/>
    <x v="1"/>
    <n v="29"/>
    <n v="35"/>
    <n v="0.94189007527308022"/>
    <n v="0.99933353594944996"/>
    <n v="0.91940767791114253"/>
    <n v="18150"/>
    <n v="1.0492540847929162"/>
  </r>
  <r>
    <s v="REC-0810"/>
    <d v="2026-02-02T00:00:00"/>
    <x v="25"/>
    <x v="5"/>
    <x v="5"/>
    <x v="1"/>
    <x v="1"/>
    <x v="2"/>
    <n v="29"/>
    <n v="29"/>
    <n v="0.94810721351735294"/>
    <n v="0.96455652786291957"/>
    <n v="0.93716029711619397"/>
    <n v="12880"/>
    <n v="0.96914234198201499"/>
  </r>
  <r>
    <s v="REC-0811"/>
    <d v="2026-02-02T00:00:00"/>
    <x v="25"/>
    <x v="4"/>
    <x v="4"/>
    <x v="2"/>
    <x v="2"/>
    <x v="1"/>
    <n v="45"/>
    <n v="48"/>
    <n v="0.995"/>
    <n v="0.97820497784523197"/>
    <n v="0.99036963499111674"/>
    <n v="20990"/>
    <n v="1.0202213403416747"/>
  </r>
  <r>
    <s v="REC-0812"/>
    <d v="2026-02-06T00:00:00"/>
    <x v="25"/>
    <x v="0"/>
    <x v="0"/>
    <x v="0"/>
    <x v="0"/>
    <x v="0"/>
    <n v="42"/>
    <n v="42"/>
    <n v="0.92816198611351786"/>
    <n v="0.95914181759869066"/>
    <n v="0.95699675694758701"/>
    <n v="23020"/>
    <n v="0.96731112055770052"/>
  </r>
  <r>
    <s v="REC-0813"/>
    <d v="2026-02-06T00:00:00"/>
    <x v="25"/>
    <x v="1"/>
    <x v="1"/>
    <x v="0"/>
    <x v="0"/>
    <x v="1"/>
    <n v="45"/>
    <n v="54"/>
    <n v="0.94374042658148194"/>
    <n v="0.96109447506522161"/>
    <n v="0.96004730902707769"/>
    <n v="33640"/>
    <n v="1.0521087397105693"/>
  </r>
  <r>
    <s v="REC-0814"/>
    <d v="2026-02-06T00:00:00"/>
    <x v="25"/>
    <x v="3"/>
    <x v="3"/>
    <x v="2"/>
    <x v="2"/>
    <x v="0"/>
    <n v="43"/>
    <n v="42"/>
    <n v="0.95418163112711596"/>
    <n v="0.9562327092932783"/>
    <n v="0.97160732137299799"/>
    <n v="19720"/>
    <n v="0.96699945286897493"/>
  </r>
  <r>
    <s v="REC-0815"/>
    <d v="2026-02-09T00:00:00"/>
    <x v="25"/>
    <x v="2"/>
    <x v="2"/>
    <x v="1"/>
    <x v="1"/>
    <x v="0"/>
    <n v="36"/>
    <n v="34"/>
    <n v="0.87134953656231373"/>
    <n v="0.93908051567755479"/>
    <n v="0.88162461206649778"/>
    <n v="14180"/>
    <n v="0.91280216168328898"/>
  </r>
  <r>
    <s v="REC-0816"/>
    <d v="2026-02-11T00:00:00"/>
    <x v="25"/>
    <x v="1"/>
    <x v="1"/>
    <x v="0"/>
    <x v="0"/>
    <x v="1"/>
    <n v="43"/>
    <n v="48"/>
    <n v="0.90422208302990481"/>
    <n v="0.95481768869080363"/>
    <n v="0.92399623565534295"/>
    <n v="24690"/>
    <n v="1.000589049099142"/>
  </r>
  <r>
    <s v="REC-0817"/>
    <d v="2026-02-11T00:00:00"/>
    <x v="25"/>
    <x v="5"/>
    <x v="5"/>
    <x v="1"/>
    <x v="1"/>
    <x v="2"/>
    <n v="47"/>
    <n v="52"/>
    <n v="0.95713965772075549"/>
    <n v="0.96228771274839187"/>
    <n v="0.92992260566057794"/>
    <n v="22590"/>
    <n v="1.0121657839639249"/>
  </r>
  <r>
    <s v="REC-0818"/>
    <d v="2026-02-12T00:00:00"/>
    <x v="25"/>
    <x v="0"/>
    <x v="0"/>
    <x v="0"/>
    <x v="0"/>
    <x v="0"/>
    <n v="51"/>
    <n v="54"/>
    <n v="0.90725972591656112"/>
    <n v="0.94836608091200314"/>
    <n v="0.953892320790512"/>
    <n v="29920"/>
    <n v="0.98337771953874908"/>
  </r>
  <r>
    <s v="REC-0819"/>
    <d v="2026-02-12T00:00:00"/>
    <x v="25"/>
    <x v="1"/>
    <x v="1"/>
    <x v="0"/>
    <x v="0"/>
    <x v="1"/>
    <n v="43"/>
    <n v="42"/>
    <n v="0.96452029272700601"/>
    <n v="0.96720338307796372"/>
    <n v="0.91523907902438251"/>
    <n v="25230"/>
    <n v="0.95995607086692725"/>
  </r>
  <r>
    <s v="REC-0820"/>
    <d v="2026-02-13T00:00:00"/>
    <x v="25"/>
    <x v="0"/>
    <x v="0"/>
    <x v="0"/>
    <x v="0"/>
    <x v="0"/>
    <n v="55"/>
    <n v="63"/>
    <n v="0.959504961906958"/>
    <n v="0.94320096372392015"/>
    <n v="0.92098833028907645"/>
    <n v="36270"/>
    <n v="1.0237358692749612"/>
  </r>
  <r>
    <s v="REC-0821"/>
    <d v="2026-02-13T00:00:00"/>
    <x v="25"/>
    <x v="4"/>
    <x v="4"/>
    <x v="2"/>
    <x v="2"/>
    <x v="1"/>
    <n v="45"/>
    <n v="52"/>
    <n v="0.91972573344694086"/>
    <n v="0.98202387850510287"/>
    <n v="0.92933505562587959"/>
    <n v="25700"/>
    <n v="1.0253242484848988"/>
  </r>
  <r>
    <s v="REC-0822"/>
    <d v="2026-02-16T00:00:00"/>
    <x v="25"/>
    <x v="0"/>
    <x v="0"/>
    <x v="0"/>
    <x v="0"/>
    <x v="0"/>
    <n v="48"/>
    <n v="56"/>
    <n v="0.95262646323986344"/>
    <n v="0.98266948096915707"/>
    <n v="0.95755913177803109"/>
    <n v="28910"/>
    <n v="1.0437355309776124"/>
  </r>
  <r>
    <s v="REC-0823"/>
    <d v="2026-02-17T00:00:00"/>
    <x v="25"/>
    <x v="4"/>
    <x v="4"/>
    <x v="2"/>
    <x v="2"/>
    <x v="1"/>
    <n v="29"/>
    <n v="33"/>
    <n v="0.99422282512893867"/>
    <n v="0.99736570438720351"/>
    <n v="0.95727398660502061"/>
    <n v="16890"/>
    <n v="1.0447877730544228"/>
  </r>
  <r>
    <s v="REC-0824"/>
    <d v="2026-02-18T00:00:00"/>
    <x v="25"/>
    <x v="0"/>
    <x v="0"/>
    <x v="0"/>
    <x v="0"/>
    <x v="0"/>
    <n v="40"/>
    <n v="43"/>
    <n v="0.995"/>
    <n v="0.93990091689063826"/>
    <n v="0.95424568850233038"/>
    <n v="24720"/>
    <n v="1.0105842752340619"/>
  </r>
  <r>
    <s v="REC-0825"/>
    <d v="2026-02-19T00:00:00"/>
    <x v="25"/>
    <x v="3"/>
    <x v="3"/>
    <x v="2"/>
    <x v="2"/>
    <x v="0"/>
    <n v="32"/>
    <n v="31"/>
    <n v="0.93599476339817667"/>
    <n v="0.94145901865008152"/>
    <n v="0.96148369906510789"/>
    <n v="14570"/>
    <n v="0.95501428346007788"/>
  </r>
  <r>
    <s v="REC-0826"/>
    <d v="2026-02-20T00:00:00"/>
    <x v="25"/>
    <x v="0"/>
    <x v="0"/>
    <x v="0"/>
    <x v="0"/>
    <x v="0"/>
    <n v="43"/>
    <n v="52"/>
    <n v="0.93190745954816245"/>
    <n v="0.97669420970209642"/>
    <n v="0.93105683494498626"/>
    <n v="28010"/>
    <n v="1.0456923633313524"/>
  </r>
  <r>
    <s v="REC-0827"/>
    <d v="2026-02-20T00:00:00"/>
    <x v="25"/>
    <x v="3"/>
    <x v="3"/>
    <x v="2"/>
    <x v="2"/>
    <x v="0"/>
    <n v="38"/>
    <n v="40"/>
    <n v="0.94865306507885061"/>
    <n v="0.94954702280136627"/>
    <n v="0.95920262254477284"/>
    <n v="17360"/>
    <n v="0.99248847577781951"/>
  </r>
  <r>
    <s v="REC-0828"/>
    <d v="2026-02-20T00:00:00"/>
    <x v="25"/>
    <x v="3"/>
    <x v="3"/>
    <x v="2"/>
    <x v="2"/>
    <x v="0"/>
    <n v="54"/>
    <n v="51"/>
    <n v="0.90499932244318615"/>
    <n v="0.95287293595086897"/>
    <n v="0.96691757609619322"/>
    <n v="26330"/>
    <n v="0.94034206400044329"/>
  </r>
  <r>
    <s v="REC-0829"/>
    <d v="2026-02-20T00:00:00"/>
    <x v="25"/>
    <x v="3"/>
    <x v="3"/>
    <x v="2"/>
    <x v="2"/>
    <x v="0"/>
    <n v="44"/>
    <n v="44"/>
    <n v="0.95141214785868011"/>
    <n v="0.95467730972654741"/>
    <n v="0.93582614171200873"/>
    <n v="22000"/>
    <n v="0.9682198617660539"/>
  </r>
  <r>
    <s v="REC-0830"/>
    <d v="2026-02-20T00:00:00"/>
    <x v="25"/>
    <x v="4"/>
    <x v="4"/>
    <x v="2"/>
    <x v="2"/>
    <x v="1"/>
    <n v="49"/>
    <n v="57"/>
    <n v="0.93449644339783433"/>
    <n v="0.9809191312800809"/>
    <n v="0.95329926583846736"/>
    <n v="27660"/>
    <n v="1.0367279561581437"/>
  </r>
  <r>
    <s v="REC-0831"/>
    <d v="2026-02-23T00:00:00"/>
    <x v="25"/>
    <x v="2"/>
    <x v="2"/>
    <x v="1"/>
    <x v="1"/>
    <x v="0"/>
    <n v="45"/>
    <n v="45"/>
    <n v="0.92083666902095829"/>
    <n v="0.93661139335260535"/>
    <n v="0.90277962868152262"/>
    <n v="16070"/>
    <n v="0.95125680199443485"/>
  </r>
  <r>
    <s v="REC-0832"/>
    <d v="2026-02-24T00:00:00"/>
    <x v="25"/>
    <x v="0"/>
    <x v="0"/>
    <x v="0"/>
    <x v="0"/>
    <x v="0"/>
    <n v="46"/>
    <n v="56"/>
    <n v="0.94386661812752592"/>
    <n v="0.99128606058074076"/>
    <n v="0.95323904401718307"/>
    <n v="30250"/>
    <n v="1.0553073724224291"/>
  </r>
  <r>
    <s v="REC-0833"/>
    <d v="2026-02-24T00:00:00"/>
    <x v="25"/>
    <x v="1"/>
    <x v="1"/>
    <x v="0"/>
    <x v="0"/>
    <x v="1"/>
    <n v="49"/>
    <n v="49"/>
    <n v="0.91173420652276205"/>
    <n v="0.98072579468371635"/>
    <n v="0.97175157150717995"/>
    <n v="23790"/>
    <n v="0.96939273513468405"/>
  </r>
  <r>
    <s v="REC-0834"/>
    <d v="2026-02-24T00:00:00"/>
    <x v="25"/>
    <x v="5"/>
    <x v="5"/>
    <x v="1"/>
    <x v="1"/>
    <x v="2"/>
    <n v="36"/>
    <n v="39"/>
    <n v="0.96387793099739538"/>
    <n v="0.99583196910521532"/>
    <n v="0.88707567822255406"/>
    <n v="18490"/>
    <n v="1.0010927470929754"/>
  </r>
  <r>
    <s v="REC-0835"/>
    <d v="2026-02-24T00:00:00"/>
    <x v="25"/>
    <x v="3"/>
    <x v="3"/>
    <x v="2"/>
    <x v="2"/>
    <x v="0"/>
    <n v="49"/>
    <n v="57"/>
    <n v="0.93711036444324025"/>
    <n v="0.94533093730107809"/>
    <n v="0.91074317005392214"/>
    <n v="22910"/>
    <n v="1.0235319881657359"/>
  </r>
  <r>
    <s v="REC-0836"/>
    <d v="2026-02-25T00:00:00"/>
    <x v="25"/>
    <x v="3"/>
    <x v="3"/>
    <x v="2"/>
    <x v="2"/>
    <x v="0"/>
    <n v="39"/>
    <n v="38"/>
    <n v="0.92607608220541016"/>
    <n v="0.98649769236397966"/>
    <n v="0.97001167668603538"/>
    <n v="18940"/>
    <n v="0.96323959948674642"/>
  </r>
  <r>
    <s v="REC-0837"/>
    <d v="2026-02-27T00:00:00"/>
    <x v="25"/>
    <x v="0"/>
    <x v="0"/>
    <x v="0"/>
    <x v="0"/>
    <x v="0"/>
    <n v="46"/>
    <n v="51"/>
    <n v="0.94239853023592646"/>
    <n v="0.98724790831523968"/>
    <n v="0.9059048108153287"/>
    <n v="29190"/>
    <n v="1.0083460418388985"/>
  </r>
  <r>
    <s v="REC-0838"/>
    <d v="2026-02-27T00:00:00"/>
    <x v="25"/>
    <x v="1"/>
    <x v="1"/>
    <x v="0"/>
    <x v="0"/>
    <x v="1"/>
    <n v="52"/>
    <n v="52"/>
    <n v="0.93735821120386309"/>
    <n v="0.98787730892468006"/>
    <n v="0.97097543420058186"/>
    <n v="27960"/>
    <n v="0.97671623597978408"/>
  </r>
  <r>
    <s v="REC-0839"/>
    <d v="2026-02-27T00:00:00"/>
    <x v="25"/>
    <x v="4"/>
    <x v="4"/>
    <x v="2"/>
    <x v="2"/>
    <x v="1"/>
    <n v="35"/>
    <n v="39"/>
    <n v="0.91540207713557176"/>
    <n v="1"/>
    <n v="0.95341057167123611"/>
    <n v="19450"/>
    <n v="1.0152469193324261"/>
  </r>
  <r>
    <s v="REC-0840"/>
    <d v="2026-03-02T00:00:00"/>
    <x v="26"/>
    <x v="0"/>
    <x v="0"/>
    <x v="0"/>
    <x v="0"/>
    <x v="0"/>
    <n v="52"/>
    <n v="61"/>
    <n v="0.99463897953827551"/>
    <n v="0.97088842057090752"/>
    <n v="0.90979549940419679"/>
    <n v="30700"/>
    <n v="1.0454828770818136"/>
  </r>
  <r>
    <s v="REC-0841"/>
    <d v="2026-03-02T00:00:00"/>
    <x v="26"/>
    <x v="0"/>
    <x v="0"/>
    <x v="0"/>
    <x v="0"/>
    <x v="0"/>
    <n v="49"/>
    <n v="54"/>
    <n v="0.9033616336690421"/>
    <n v="0.9599413735184229"/>
    <n v="0.92059369153672299"/>
    <n v="29610"/>
    <n v="0.99476667928298079"/>
  </r>
  <r>
    <s v="REC-0842"/>
    <d v="2026-03-02T00:00:00"/>
    <x v="26"/>
    <x v="1"/>
    <x v="1"/>
    <x v="0"/>
    <x v="0"/>
    <x v="1"/>
    <n v="37"/>
    <n v="44"/>
    <n v="0.91950668399532454"/>
    <n v="0.97176429321479585"/>
    <n v="0.93035626761464674"/>
    <n v="24060"/>
    <n v="1.0373882441796556"/>
  </r>
  <r>
    <s v="REC-0843"/>
    <d v="2026-03-02T00:00:00"/>
    <x v="26"/>
    <x v="4"/>
    <x v="4"/>
    <x v="2"/>
    <x v="2"/>
    <x v="1"/>
    <n v="52"/>
    <n v="54"/>
    <n v="0.96494495984970818"/>
    <n v="0.96724311552132713"/>
    <n v="0.96059376669709839"/>
    <n v="26470"/>
    <n v="0.99382607601466133"/>
  </r>
  <r>
    <s v="REC-0844"/>
    <d v="2026-03-04T00:00:00"/>
    <x v="26"/>
    <x v="5"/>
    <x v="5"/>
    <x v="1"/>
    <x v="1"/>
    <x v="2"/>
    <n v="41"/>
    <n v="40"/>
    <n v="0.90689749040536938"/>
    <n v="0.97979682388511946"/>
    <n v="0.90440146840499702"/>
    <n v="16610"/>
    <n v="0.94481809230413416"/>
  </r>
  <r>
    <s v="REC-0845"/>
    <d v="2026-03-04T00:00:00"/>
    <x v="26"/>
    <x v="4"/>
    <x v="4"/>
    <x v="2"/>
    <x v="2"/>
    <x v="1"/>
    <n v="51"/>
    <n v="56"/>
    <n v="0.96738167971857569"/>
    <n v="0.96481552003176785"/>
    <n v="0.95025699119584406"/>
    <n v="30440"/>
    <n v="1.0158348324480877"/>
  </r>
  <r>
    <s v="REC-0846"/>
    <d v="2026-03-05T00:00:00"/>
    <x v="26"/>
    <x v="3"/>
    <x v="3"/>
    <x v="2"/>
    <x v="2"/>
    <x v="0"/>
    <n v="29"/>
    <n v="26"/>
    <n v="0.90482980307048222"/>
    <n v="0.95664569536303279"/>
    <n v="0.91344207727907878"/>
    <n v="13380"/>
    <n v="0.91101341018306381"/>
  </r>
  <r>
    <s v="REC-0847"/>
    <d v="2026-03-06T00:00:00"/>
    <x v="26"/>
    <x v="1"/>
    <x v="1"/>
    <x v="0"/>
    <x v="0"/>
    <x v="1"/>
    <n v="30"/>
    <n v="31"/>
    <n v="0.89247016851935723"/>
    <n v="0.97340902671007179"/>
    <n v="0.94908062428433992"/>
    <n v="17210"/>
    <n v="0.97227835432655141"/>
  </r>
  <r>
    <s v="REC-0848"/>
    <d v="2026-03-06T00:00:00"/>
    <x v="26"/>
    <x v="2"/>
    <x v="2"/>
    <x v="1"/>
    <x v="1"/>
    <x v="0"/>
    <n v="50"/>
    <n v="56"/>
    <n v="0.91221227378347136"/>
    <n v="0.95867675530640462"/>
    <n v="0.8771194578088396"/>
    <n v="23010"/>
    <n v="0.99527847330359653"/>
  </r>
  <r>
    <s v="REC-0849"/>
    <d v="2026-03-06T00:00:00"/>
    <x v="26"/>
    <x v="4"/>
    <x v="4"/>
    <x v="2"/>
    <x v="2"/>
    <x v="1"/>
    <n v="31"/>
    <n v="35"/>
    <n v="0.97416883361809559"/>
    <n v="0.97720426767307289"/>
    <n v="0.91563290424514276"/>
    <n v="16420"/>
    <n v="1.0248623326303199"/>
  </r>
  <r>
    <s v="REC-0850"/>
    <d v="2026-03-09T00:00:00"/>
    <x v="26"/>
    <x v="2"/>
    <x v="2"/>
    <x v="1"/>
    <x v="1"/>
    <x v="0"/>
    <n v="52"/>
    <n v="49"/>
    <n v="0.89672713033181051"/>
    <n v="0.96033250386705549"/>
    <n v="0.91597362345689903"/>
    <n v="19060"/>
    <n v="0.92834945977746774"/>
  </r>
  <r>
    <s v="REC-0851"/>
    <d v="2026-03-09T00:00:00"/>
    <x v="26"/>
    <x v="2"/>
    <x v="2"/>
    <x v="1"/>
    <x v="1"/>
    <x v="0"/>
    <n v="31"/>
    <n v="32"/>
    <n v="0.85510144695797119"/>
    <n v="0.97693080854889014"/>
    <n v="0.8521302357467877"/>
    <n v="11900"/>
    <n v="0.94364425597763546"/>
  </r>
  <r>
    <s v="REC-0852"/>
    <d v="2026-03-10T00:00:00"/>
    <x v="26"/>
    <x v="2"/>
    <x v="2"/>
    <x v="1"/>
    <x v="1"/>
    <x v="0"/>
    <n v="55"/>
    <n v="53"/>
    <n v="0.95588791313674482"/>
    <n v="0.95058987445218857"/>
    <n v="0.88346858824365804"/>
    <n v="23030"/>
    <n v="0.94370872255529159"/>
  </r>
  <r>
    <s v="REC-0853"/>
    <d v="2026-03-13T00:00:00"/>
    <x v="26"/>
    <x v="0"/>
    <x v="0"/>
    <x v="0"/>
    <x v="0"/>
    <x v="0"/>
    <n v="50"/>
    <n v="55"/>
    <n v="0.96016513215855281"/>
    <n v="0.97273049221589347"/>
    <n v="0.93928315522839756"/>
    <n v="31780"/>
    <n v="1.0138074879177017"/>
  </r>
  <r>
    <s v="REC-0854"/>
    <d v="2026-03-17T00:00:00"/>
    <x v="26"/>
    <x v="0"/>
    <x v="0"/>
    <x v="0"/>
    <x v="0"/>
    <x v="0"/>
    <n v="43"/>
    <n v="50"/>
    <n v="0.9824257554205067"/>
    <n v="0.98034189117005577"/>
    <n v="0.91394980992989383"/>
    <n v="25370"/>
    <n v="1.0405639635863813"/>
  </r>
  <r>
    <s v="REC-0855"/>
    <d v="2026-03-17T00:00:00"/>
    <x v="26"/>
    <x v="0"/>
    <x v="0"/>
    <x v="0"/>
    <x v="0"/>
    <x v="0"/>
    <n v="30"/>
    <n v="31"/>
    <n v="0.93925205212790164"/>
    <n v="0.94404033236477147"/>
    <n v="0.97600932243094563"/>
    <n v="16000"/>
    <n v="0.98495426070621361"/>
  </r>
  <r>
    <s v="REC-0856"/>
    <d v="2026-03-18T00:00:00"/>
    <x v="26"/>
    <x v="2"/>
    <x v="2"/>
    <x v="1"/>
    <x v="1"/>
    <x v="0"/>
    <n v="42"/>
    <n v="44"/>
    <n v="0.90910398001421866"/>
    <n v="0.97676101233446511"/>
    <n v="0.933513517235805"/>
    <n v="16770"/>
    <n v="0.97954046934850447"/>
  </r>
  <r>
    <s v="REC-0857"/>
    <d v="2026-03-19T00:00:00"/>
    <x v="26"/>
    <x v="3"/>
    <x v="3"/>
    <x v="2"/>
    <x v="2"/>
    <x v="0"/>
    <n v="35"/>
    <n v="36"/>
    <n v="0.93456276746254385"/>
    <n v="0.96426796849390939"/>
    <n v="0.91001267870514335"/>
    <n v="17070"/>
    <n v="0.97171199430932242"/>
  </r>
  <r>
    <s v="REC-0858"/>
    <d v="2026-03-19T00:00:00"/>
    <x v="26"/>
    <x v="3"/>
    <x v="3"/>
    <x v="2"/>
    <x v="2"/>
    <x v="0"/>
    <n v="37"/>
    <n v="39"/>
    <n v="0.9512542222869228"/>
    <n v="0.91240034745492282"/>
    <n v="0.9470919805302751"/>
    <n v="19360"/>
    <n v="0.98571362541764584"/>
  </r>
  <r>
    <s v="REC-0859"/>
    <d v="2026-03-20T00:00:00"/>
    <x v="26"/>
    <x v="5"/>
    <x v="5"/>
    <x v="1"/>
    <x v="1"/>
    <x v="2"/>
    <n v="54"/>
    <n v="57"/>
    <n v="0.94243251637909697"/>
    <n v="0.98912410281589591"/>
    <n v="0.91692492684932836"/>
    <n v="27010"/>
    <n v="0.98958395210924666"/>
  </r>
  <r>
    <s v="REC-0860"/>
    <d v="2026-03-20T00:00:00"/>
    <x v="26"/>
    <x v="5"/>
    <x v="5"/>
    <x v="1"/>
    <x v="1"/>
    <x v="2"/>
    <n v="33"/>
    <n v="39"/>
    <n v="0.96990994596439628"/>
    <n v="0.95425304669081679"/>
    <n v="0.94682325794708988"/>
    <n v="16600"/>
    <n v="1.0477073678114124"/>
  </r>
  <r>
    <s v="REC-0861"/>
    <d v="2026-03-20T00:00:00"/>
    <x v="26"/>
    <x v="4"/>
    <x v="4"/>
    <x v="2"/>
    <x v="2"/>
    <x v="1"/>
    <n v="33"/>
    <n v="38"/>
    <n v="0.97304277426231744"/>
    <n v="0.99723022754208834"/>
    <n v="0.9427668401431275"/>
    <n v="17160"/>
    <n v="1.0420046563315788"/>
  </r>
  <r>
    <s v="REC-0862"/>
    <d v="2026-03-23T00:00:00"/>
    <x v="26"/>
    <x v="3"/>
    <x v="3"/>
    <x v="2"/>
    <x v="2"/>
    <x v="0"/>
    <n v="34"/>
    <n v="35"/>
    <n v="0.90078132810695044"/>
    <n v="0.95532680936474601"/>
    <n v="0.95176773642926527"/>
    <n v="14580"/>
    <n v="0.97061260659965543"/>
  </r>
  <r>
    <s v="REC-0863"/>
    <d v="2026-03-26T00:00:00"/>
    <x v="26"/>
    <x v="3"/>
    <x v="3"/>
    <x v="2"/>
    <x v="2"/>
    <x v="0"/>
    <n v="29"/>
    <n v="29"/>
    <n v="0.95752596169741644"/>
    <n v="0.97351647965941845"/>
    <n v="0.96633213325791167"/>
    <n v="13680"/>
    <n v="0.97867538902484918"/>
  </r>
  <r>
    <s v="REC-0864"/>
    <d v="2026-03-27T00:00:00"/>
    <x v="26"/>
    <x v="0"/>
    <x v="0"/>
    <x v="0"/>
    <x v="0"/>
    <x v="0"/>
    <n v="46"/>
    <n v="50"/>
    <n v="0.888194930634849"/>
    <n v="0.96535345542252715"/>
    <n v="0.94118598941576082"/>
    <n v="28450"/>
    <n v="0.98987155755089562"/>
  </r>
  <r>
    <s v="REC-0865"/>
    <d v="2026-03-27T00:00:00"/>
    <x v="26"/>
    <x v="2"/>
    <x v="2"/>
    <x v="1"/>
    <x v="1"/>
    <x v="0"/>
    <n v="40"/>
    <n v="36"/>
    <n v="0.94199711596082536"/>
    <n v="0.95631024272582332"/>
    <n v="0.87611363799325492"/>
    <n v="14790"/>
    <n v="0.91416854299773087"/>
  </r>
  <r>
    <s v="REC-0866"/>
    <d v="2026-03-27T00:00:00"/>
    <x v="26"/>
    <x v="3"/>
    <x v="3"/>
    <x v="2"/>
    <x v="2"/>
    <x v="0"/>
    <n v="44"/>
    <n v="47"/>
    <n v="0.9167281375380183"/>
    <n v="0.96869373955995541"/>
    <n v="0.94764614712122008"/>
    <n v="24180"/>
    <n v="0.9912880520154691"/>
  </r>
  <r>
    <s v="REC-0867"/>
    <d v="2026-03-30T00:00:00"/>
    <x v="26"/>
    <x v="5"/>
    <x v="5"/>
    <x v="1"/>
    <x v="1"/>
    <x v="2"/>
    <n v="38"/>
    <n v="39"/>
    <n v="0.96640954988979266"/>
    <n v="0.95273538394473312"/>
    <n v="0.91068240639212572"/>
    <n v="15450"/>
    <n v="0.97717549213205701"/>
  </r>
  <r>
    <s v="REC-0868"/>
    <d v="2026-03-30T00:00:00"/>
    <x v="26"/>
    <x v="3"/>
    <x v="3"/>
    <x v="2"/>
    <x v="2"/>
    <x v="0"/>
    <n v="47"/>
    <n v="50"/>
    <n v="0.89868591625292171"/>
    <n v="0.95358674563654822"/>
    <n v="0.98345109263277086"/>
    <n v="24910"/>
    <n v="0.98993162432888393"/>
  </r>
  <r>
    <s v="REC-0869"/>
    <d v="2026-03-31T00:00:00"/>
    <x v="26"/>
    <x v="0"/>
    <x v="0"/>
    <x v="0"/>
    <x v="0"/>
    <x v="0"/>
    <n v="42"/>
    <n v="42"/>
    <n v="0.87967450228659139"/>
    <n v="0.93362500975321705"/>
    <n v="0.89269224899587396"/>
    <n v="26510"/>
    <n v="0.9385008268338052"/>
  </r>
  <r>
    <s v="REC-0870"/>
    <d v="2026-04-01T00:00:00"/>
    <x v="27"/>
    <x v="5"/>
    <x v="5"/>
    <x v="1"/>
    <x v="1"/>
    <x v="2"/>
    <n v="45"/>
    <n v="52"/>
    <n v="0.881799529506336"/>
    <n v="0.98338212430690819"/>
    <n v="0.89504147336500561"/>
    <n v="22020"/>
    <n v="1.0091877179178437"/>
  </r>
  <r>
    <s v="REC-0871"/>
    <d v="2026-04-02T00:00:00"/>
    <x v="27"/>
    <x v="3"/>
    <x v="3"/>
    <x v="2"/>
    <x v="2"/>
    <x v="0"/>
    <n v="45"/>
    <n v="51"/>
    <n v="0.97201871929825356"/>
    <n v="0.97661329514800044"/>
    <n v="0.95092317762626599"/>
    <n v="25050"/>
    <n v="1.0330146429553499"/>
  </r>
  <r>
    <s v="REC-0872"/>
    <d v="2026-04-03T00:00:00"/>
    <x v="27"/>
    <x v="1"/>
    <x v="1"/>
    <x v="0"/>
    <x v="0"/>
    <x v="1"/>
    <n v="42"/>
    <n v="48"/>
    <n v="0.90235070361982306"/>
    <n v="0.97062177779935488"/>
    <n v="0.97441385023031801"/>
    <n v="25440"/>
    <n v="1.0232065697637798"/>
  </r>
  <r>
    <s v="REC-0873"/>
    <d v="2026-04-03T00:00:00"/>
    <x v="27"/>
    <x v="2"/>
    <x v="2"/>
    <x v="1"/>
    <x v="1"/>
    <x v="0"/>
    <n v="42"/>
    <n v="45"/>
    <n v="0.88782328969441471"/>
    <n v="0.97250942126493845"/>
    <n v="0.88307107855547384"/>
    <n v="16180"/>
    <n v="0.97301787989586785"/>
  </r>
  <r>
    <s v="REC-0874"/>
    <d v="2026-04-03T00:00:00"/>
    <x v="27"/>
    <x v="5"/>
    <x v="5"/>
    <x v="1"/>
    <x v="1"/>
    <x v="2"/>
    <n v="51"/>
    <n v="53"/>
    <n v="0.90182479115175707"/>
    <n v="1"/>
    <n v="0.92739228279242436"/>
    <n v="24880"/>
    <n v="0.9766209288562282"/>
  </r>
  <r>
    <s v="REC-0875"/>
    <d v="2026-04-03T00:00:00"/>
    <x v="27"/>
    <x v="4"/>
    <x v="4"/>
    <x v="2"/>
    <x v="2"/>
    <x v="1"/>
    <n v="50"/>
    <n v="56"/>
    <n v="0.96332560866732608"/>
    <n v="0.98017610417222012"/>
    <n v="0.995"/>
    <n v="26820"/>
    <n v="1.0348578177926646"/>
  </r>
  <r>
    <s v="REC-0876"/>
    <d v="2026-04-06T00:00:00"/>
    <x v="27"/>
    <x v="2"/>
    <x v="2"/>
    <x v="1"/>
    <x v="1"/>
    <x v="0"/>
    <n v="48"/>
    <n v="42"/>
    <n v="0.89753217651829198"/>
    <n v="0.91072135974892954"/>
    <n v="0.86895439554345477"/>
    <n v="14990"/>
    <n v="0.88478212720060334"/>
  </r>
  <r>
    <s v="REC-0877"/>
    <d v="2026-04-06T00:00:00"/>
    <x v="27"/>
    <x v="2"/>
    <x v="2"/>
    <x v="1"/>
    <x v="1"/>
    <x v="0"/>
    <n v="53"/>
    <n v="53"/>
    <n v="0.86624318103649633"/>
    <n v="0.95699645808082423"/>
    <n v="0.92713116389331984"/>
    <n v="21190"/>
    <n v="0.94553649674991169"/>
  </r>
  <r>
    <s v="REC-0878"/>
    <d v="2026-04-07T00:00:00"/>
    <x v="27"/>
    <x v="2"/>
    <x v="2"/>
    <x v="1"/>
    <x v="1"/>
    <x v="0"/>
    <n v="55"/>
    <n v="56"/>
    <n v="0.89532470865661062"/>
    <n v="0.93704996558084286"/>
    <n v="0.86249161865215784"/>
    <n v="19450"/>
    <n v="0.94415972300443796"/>
  </r>
  <r>
    <s v="REC-0879"/>
    <d v="2026-04-07T00:00:00"/>
    <x v="27"/>
    <x v="4"/>
    <x v="4"/>
    <x v="2"/>
    <x v="2"/>
    <x v="1"/>
    <n v="33"/>
    <n v="39"/>
    <n v="0.95210164612131587"/>
    <n v="0.97702874154065178"/>
    <n v="0.98714004928226151"/>
    <n v="16950"/>
    <n v="1.0547350053451519"/>
  </r>
  <r>
    <s v="REC-0880"/>
    <d v="2026-04-08T00:00:00"/>
    <x v="27"/>
    <x v="5"/>
    <x v="5"/>
    <x v="1"/>
    <x v="1"/>
    <x v="2"/>
    <n v="55"/>
    <n v="67"/>
    <n v="0.95610257396062481"/>
    <n v="0.97474486311169872"/>
    <n v="0.89667109105087284"/>
    <n v="25700"/>
    <n v="1.0445715911670854"/>
  </r>
  <r>
    <s v="REC-0881"/>
    <d v="2026-04-08T00:00:00"/>
    <x v="27"/>
    <x v="3"/>
    <x v="3"/>
    <x v="2"/>
    <x v="2"/>
    <x v="0"/>
    <n v="32"/>
    <n v="37"/>
    <n v="0.96073067671594659"/>
    <n v="0.96332803404596068"/>
    <n v="0.92712932093323319"/>
    <n v="19180"/>
    <n v="1.0326077384725274"/>
  </r>
  <r>
    <s v="REC-0882"/>
    <d v="2026-04-10T00:00:00"/>
    <x v="27"/>
    <x v="5"/>
    <x v="5"/>
    <x v="1"/>
    <x v="1"/>
    <x v="2"/>
    <n v="51"/>
    <n v="52"/>
    <n v="0.94207413485628888"/>
    <n v="0.97378076962643589"/>
    <n v="0.88293854669629146"/>
    <n v="19970"/>
    <n v="0.96601649575219795"/>
  </r>
  <r>
    <s v="REC-0883"/>
    <d v="2026-04-14T00:00:00"/>
    <x v="27"/>
    <x v="4"/>
    <x v="4"/>
    <x v="2"/>
    <x v="2"/>
    <x v="1"/>
    <n v="45"/>
    <n v="50"/>
    <n v="0.96542176660316592"/>
    <n v="0.97108244364934293"/>
    <n v="0.95232346242949917"/>
    <n v="26560"/>
    <n v="1.0219269451285373"/>
  </r>
  <r>
    <s v="REC-0884"/>
    <d v="2026-04-15T00:00:00"/>
    <x v="27"/>
    <x v="1"/>
    <x v="1"/>
    <x v="0"/>
    <x v="0"/>
    <x v="1"/>
    <n v="53"/>
    <n v="57"/>
    <n v="0.92007808899893684"/>
    <n v="0.97266616888636193"/>
    <n v="0.94956922400325916"/>
    <n v="34480"/>
    <n v="0.99602197162862338"/>
  </r>
  <r>
    <s v="REC-0885"/>
    <d v="2026-04-16T00:00:00"/>
    <x v="27"/>
    <x v="5"/>
    <x v="5"/>
    <x v="1"/>
    <x v="1"/>
    <x v="2"/>
    <n v="35"/>
    <n v="39"/>
    <n v="0.93566891133805785"/>
    <n v="0.98266100895858743"/>
    <n v="0.88367037481821897"/>
    <n v="17380"/>
    <n v="1.0037647398562322"/>
  </r>
  <r>
    <s v="REC-0886"/>
    <d v="2026-04-17T00:00:00"/>
    <x v="27"/>
    <x v="3"/>
    <x v="3"/>
    <x v="2"/>
    <x v="2"/>
    <x v="0"/>
    <n v="37"/>
    <n v="42"/>
    <n v="0.93761591141576162"/>
    <n v="0.97506575880794077"/>
    <n v="0.95900292412683641"/>
    <n v="16960"/>
    <n v="1.0265184805545529"/>
  </r>
  <r>
    <s v="REC-0887"/>
    <d v="2026-04-20T00:00:00"/>
    <x v="27"/>
    <x v="5"/>
    <x v="5"/>
    <x v="1"/>
    <x v="1"/>
    <x v="2"/>
    <n v="50"/>
    <n v="58"/>
    <n v="0.90244516317235968"/>
    <n v="0.97293368216363318"/>
    <n v="0.95313330836470933"/>
    <n v="24770"/>
    <n v="1.0261780047905769"/>
  </r>
  <r>
    <s v="REC-0888"/>
    <d v="2026-04-21T00:00:00"/>
    <x v="27"/>
    <x v="4"/>
    <x v="4"/>
    <x v="2"/>
    <x v="2"/>
    <x v="1"/>
    <n v="29"/>
    <n v="34"/>
    <n v="0.94050368016276176"/>
    <n v="1"/>
    <n v="0.99411285461682153"/>
    <n v="16720"/>
    <n v="1.052914008205434"/>
  </r>
  <r>
    <s v="REC-0889"/>
    <d v="2026-04-24T00:00:00"/>
    <x v="27"/>
    <x v="2"/>
    <x v="2"/>
    <x v="1"/>
    <x v="1"/>
    <x v="0"/>
    <n v="34"/>
    <n v="35"/>
    <n v="0.9086220636539184"/>
    <n v="0.94718852553595501"/>
    <n v="0.88393681797519985"/>
    <n v="15300"/>
    <n v="0.95778586422126577"/>
  </r>
  <r>
    <s v="REC-0890"/>
    <d v="2026-04-27T00:00:00"/>
    <x v="27"/>
    <x v="3"/>
    <x v="3"/>
    <x v="2"/>
    <x v="2"/>
    <x v="0"/>
    <n v="42"/>
    <n v="39"/>
    <n v="0.95837900578025992"/>
    <n v="0.95403234832867856"/>
    <n v="0.96159222287185653"/>
    <n v="16900"/>
    <n v="0.94644661969730948"/>
  </r>
  <r>
    <s v="REC-0891"/>
    <d v="2026-04-28T00:00:00"/>
    <x v="27"/>
    <x v="1"/>
    <x v="1"/>
    <x v="0"/>
    <x v="0"/>
    <x v="1"/>
    <n v="45"/>
    <n v="49"/>
    <n v="0.91473002877897236"/>
    <n v="0.9494919843256262"/>
    <n v="0.94630373077890295"/>
    <n v="29680"/>
    <n v="0.99592260655492315"/>
  </r>
  <r>
    <s v="REC-0892"/>
    <d v="2026-05-01T00:00:00"/>
    <x v="28"/>
    <x v="0"/>
    <x v="0"/>
    <x v="0"/>
    <x v="0"/>
    <x v="0"/>
    <n v="32"/>
    <n v="36"/>
    <n v="0.91628284538344396"/>
    <n v="0.9407045429905716"/>
    <n v="0.89108764861894829"/>
    <n v="18020"/>
    <n v="0.99839392251823633"/>
  </r>
  <r>
    <s v="REC-0893"/>
    <d v="2026-05-01T00:00:00"/>
    <x v="28"/>
    <x v="0"/>
    <x v="0"/>
    <x v="0"/>
    <x v="0"/>
    <x v="0"/>
    <n v="35"/>
    <n v="35"/>
    <n v="0.94453306297134909"/>
    <n v="0.96447352064971548"/>
    <n v="0.91089413010457154"/>
    <n v="21880"/>
    <n v="0.96298311986120899"/>
  </r>
  <r>
    <s v="REC-0894"/>
    <d v="2026-05-01T00:00:00"/>
    <x v="28"/>
    <x v="2"/>
    <x v="2"/>
    <x v="1"/>
    <x v="1"/>
    <x v="0"/>
    <n v="32"/>
    <n v="28"/>
    <n v="0.90477828976534602"/>
    <n v="0.93563555134677978"/>
    <n v="0.88879764549340845"/>
    <n v="12170"/>
    <n v="0.89429943424203517"/>
  </r>
  <r>
    <s v="REC-0895"/>
    <d v="2026-05-01T00:00:00"/>
    <x v="28"/>
    <x v="3"/>
    <x v="3"/>
    <x v="2"/>
    <x v="2"/>
    <x v="0"/>
    <n v="38"/>
    <n v="42"/>
    <n v="0.92097742867662558"/>
    <n v="0.95521834024133634"/>
    <n v="0.9411590996593886"/>
    <n v="17510"/>
    <n v="1.0038641912951294"/>
  </r>
  <r>
    <s v="REC-0896"/>
    <d v="2026-05-04T00:00:00"/>
    <x v="28"/>
    <x v="1"/>
    <x v="1"/>
    <x v="0"/>
    <x v="0"/>
    <x v="1"/>
    <n v="35"/>
    <n v="38"/>
    <n v="0.90430086268114807"/>
    <n v="0.96164488260493297"/>
    <n v="0.93658016144971235"/>
    <n v="18650"/>
    <n v="0.99192369463668362"/>
  </r>
  <r>
    <s v="REC-0897"/>
    <d v="2026-05-04T00:00:00"/>
    <x v="28"/>
    <x v="2"/>
    <x v="2"/>
    <x v="1"/>
    <x v="1"/>
    <x v="0"/>
    <n v="39"/>
    <n v="40"/>
    <n v="0.92437206593154886"/>
    <n v="0.93653689652022076"/>
    <n v="0.85317009474049543"/>
    <n v="16790"/>
    <n v="0.95246398016542955"/>
  </r>
  <r>
    <s v="REC-0898"/>
    <d v="2026-05-05T00:00:00"/>
    <x v="28"/>
    <x v="2"/>
    <x v="2"/>
    <x v="1"/>
    <x v="1"/>
    <x v="0"/>
    <n v="30"/>
    <n v="27"/>
    <n v="0.90185485772039253"/>
    <n v="0.96811468184785421"/>
    <n v="0.87208830083465272"/>
    <n v="10350"/>
    <n v="0.90509857687420681"/>
  </r>
  <r>
    <s v="REC-0899"/>
    <d v="2026-05-06T00:00:00"/>
    <x v="28"/>
    <x v="5"/>
    <x v="5"/>
    <x v="1"/>
    <x v="1"/>
    <x v="2"/>
    <n v="43"/>
    <n v="46"/>
    <n v="0.95179954381906462"/>
    <n v="0.96666509502435627"/>
    <n v="0.91806156664577965"/>
    <n v="17570"/>
    <n v="0.99446894028176158"/>
  </r>
  <r>
    <s v="REC-0900"/>
    <d v="2026-05-08T00:00:00"/>
    <x v="28"/>
    <x v="5"/>
    <x v="5"/>
    <x v="1"/>
    <x v="1"/>
    <x v="2"/>
    <n v="55"/>
    <n v="66"/>
    <n v="0.97518671895832965"/>
    <n v="0.98194323606544509"/>
    <n v="0.92091710291751683"/>
    <n v="25240"/>
    <n v="1.0552715857329025"/>
  </r>
  <r>
    <s v="REC-0901"/>
    <d v="2026-05-11T00:00:00"/>
    <x v="28"/>
    <x v="4"/>
    <x v="4"/>
    <x v="2"/>
    <x v="2"/>
    <x v="1"/>
    <n v="47"/>
    <n v="48"/>
    <n v="0.995"/>
    <n v="0.9622279321556122"/>
    <n v="0.9805115210043247"/>
    <n v="25350"/>
    <n v="0.99769713232207902"/>
  </r>
  <r>
    <s v="REC-0902"/>
    <d v="2026-05-14T00:00:00"/>
    <x v="28"/>
    <x v="1"/>
    <x v="1"/>
    <x v="0"/>
    <x v="0"/>
    <x v="1"/>
    <n v="55"/>
    <n v="57"/>
    <n v="0.92914994914732829"/>
    <n v="0.92562249274971486"/>
    <n v="0.91879581614213512"/>
    <n v="33910"/>
    <n v="0.96943547897317095"/>
  </r>
  <r>
    <s v="REC-0903"/>
    <d v="2026-05-14T00:00:00"/>
    <x v="28"/>
    <x v="1"/>
    <x v="1"/>
    <x v="0"/>
    <x v="0"/>
    <x v="1"/>
    <n v="43"/>
    <n v="43"/>
    <n v="0.92467019604546008"/>
    <n v="0.96530499109836343"/>
    <n v="0.94579779844776746"/>
    <n v="22970"/>
    <n v="0.96512285736567316"/>
  </r>
  <r>
    <s v="REC-0904"/>
    <d v="2026-05-15T00:00:00"/>
    <x v="28"/>
    <x v="2"/>
    <x v="2"/>
    <x v="1"/>
    <x v="1"/>
    <x v="0"/>
    <n v="44"/>
    <n v="49"/>
    <n v="0.85563416351059951"/>
    <n v="0.9199039522232475"/>
    <n v="0.93595068120212321"/>
    <n v="18910"/>
    <n v="0.9845388154061071"/>
  </r>
  <r>
    <s v="REC-0905"/>
    <d v="2026-05-15T00:00:00"/>
    <x v="28"/>
    <x v="5"/>
    <x v="5"/>
    <x v="1"/>
    <x v="1"/>
    <x v="2"/>
    <n v="31"/>
    <n v="32"/>
    <n v="0.98021450797089626"/>
    <n v="0.9909179720261555"/>
    <n v="0.93441727035006517"/>
    <n v="12560"/>
    <n v="0.99347800267311204"/>
  </r>
  <r>
    <s v="REC-0906"/>
    <d v="2026-05-18T00:00:00"/>
    <x v="28"/>
    <x v="1"/>
    <x v="1"/>
    <x v="0"/>
    <x v="0"/>
    <x v="1"/>
    <n v="30"/>
    <n v="30"/>
    <n v="0.94750343657144454"/>
    <n v="0.95321491815827653"/>
    <n v="0.9898088545820819"/>
    <n v="17140"/>
    <n v="0.9778198677830191"/>
  </r>
  <r>
    <s v="REC-0907"/>
    <d v="2026-05-19T00:00:00"/>
    <x v="28"/>
    <x v="5"/>
    <x v="5"/>
    <x v="1"/>
    <x v="1"/>
    <x v="2"/>
    <n v="38"/>
    <n v="39"/>
    <n v="0.92433721131683222"/>
    <n v="1"/>
    <n v="0.98662315522176458"/>
    <n v="15290"/>
    <n v="0.98893524966303481"/>
  </r>
  <r>
    <s v="REC-0908"/>
    <d v="2026-05-19T00:00:00"/>
    <x v="28"/>
    <x v="3"/>
    <x v="3"/>
    <x v="2"/>
    <x v="2"/>
    <x v="0"/>
    <n v="40"/>
    <n v="39"/>
    <n v="0.90650530125729523"/>
    <n v="0.93798824246415513"/>
    <n v="0.96953710832857509"/>
    <n v="19360"/>
    <n v="0.95123198334966208"/>
  </r>
  <r>
    <s v="REC-0909"/>
    <d v="2026-05-22T00:00:00"/>
    <x v="28"/>
    <x v="1"/>
    <x v="1"/>
    <x v="0"/>
    <x v="0"/>
    <x v="1"/>
    <n v="49"/>
    <n v="56"/>
    <n v="0.91694824168261713"/>
    <n v="0.96434860270787282"/>
    <n v="0.95902243743060123"/>
    <n v="32350"/>
    <n v="1.0228366954558126"/>
  </r>
  <r>
    <s v="REC-0910"/>
    <d v="2026-05-22T00:00:00"/>
    <x v="28"/>
    <x v="5"/>
    <x v="5"/>
    <x v="1"/>
    <x v="1"/>
    <x v="2"/>
    <n v="40"/>
    <n v="43"/>
    <n v="0.96995360672912134"/>
    <n v="0.99601555146705312"/>
    <n v="0.94595200851666572"/>
    <n v="16870"/>
    <n v="1.0110811361056715"/>
  </r>
  <r>
    <s v="REC-0911"/>
    <d v="2026-05-22T00:00:00"/>
    <x v="28"/>
    <x v="5"/>
    <x v="5"/>
    <x v="1"/>
    <x v="1"/>
    <x v="2"/>
    <n v="30"/>
    <n v="33"/>
    <n v="0.95991348355070227"/>
    <n v="1"/>
    <n v="0.9005340420652943"/>
    <n v="15310"/>
    <n v="1.0100851793007346"/>
  </r>
  <r>
    <s v="REC-0912"/>
    <d v="2026-05-22T00:00:00"/>
    <x v="28"/>
    <x v="5"/>
    <x v="5"/>
    <x v="1"/>
    <x v="1"/>
    <x v="2"/>
    <n v="37"/>
    <n v="45"/>
    <n v="0.97503186421329113"/>
    <n v="0.98072440199932764"/>
    <n v="0.9197778184736195"/>
    <n v="19350"/>
    <n v="1.0548221900479458"/>
  </r>
  <r>
    <s v="REC-0913"/>
    <d v="2026-05-25T00:00:00"/>
    <x v="28"/>
    <x v="1"/>
    <x v="1"/>
    <x v="0"/>
    <x v="0"/>
    <x v="1"/>
    <n v="30"/>
    <n v="29"/>
    <n v="0.90483045879335544"/>
    <n v="0.93774117838019444"/>
    <n v="0.95796885834177881"/>
    <n v="17280"/>
    <n v="0.94512922979039049"/>
  </r>
  <r>
    <s v="REC-0914"/>
    <d v="2026-05-27T00:00:00"/>
    <x v="28"/>
    <x v="1"/>
    <x v="1"/>
    <x v="0"/>
    <x v="0"/>
    <x v="1"/>
    <n v="37"/>
    <n v="41"/>
    <n v="0.94648457906614547"/>
    <n v="0.97442349841838005"/>
    <n v="0.96383602480110153"/>
    <n v="19810"/>
    <n v="1.018795117732757"/>
  </r>
  <r>
    <s v="REC-0915"/>
    <d v="2026-05-28T00:00:00"/>
    <x v="28"/>
    <x v="0"/>
    <x v="0"/>
    <x v="0"/>
    <x v="0"/>
    <x v="0"/>
    <n v="31"/>
    <n v="38"/>
    <n v="0.91008726907239024"/>
    <n v="0.97491112095285248"/>
    <n v="0.9876331497837888"/>
    <n v="22910"/>
    <n v="1.0512851153677831"/>
  </r>
  <r>
    <s v="REC-0916"/>
    <d v="2026-05-28T00:00:00"/>
    <x v="28"/>
    <x v="4"/>
    <x v="4"/>
    <x v="2"/>
    <x v="2"/>
    <x v="1"/>
    <n v="36"/>
    <n v="40"/>
    <n v="0.9814775184338197"/>
    <n v="1"/>
    <n v="0.99278643770732578"/>
    <n v="18860"/>
    <n v="1.0383711115943646"/>
  </r>
  <r>
    <s v="REC-0917"/>
    <d v="2026-05-29T00:00:00"/>
    <x v="28"/>
    <x v="1"/>
    <x v="1"/>
    <x v="0"/>
    <x v="0"/>
    <x v="1"/>
    <n v="43"/>
    <n v="46"/>
    <n v="0.96987166637728106"/>
    <n v="0.94511471461853513"/>
    <n v="0.9556875142535719"/>
    <n v="27640"/>
    <n v="1.0032796033820008"/>
  </r>
  <r>
    <s v="REC-0918"/>
    <d v="2026-05-29T00:00:00"/>
    <x v="28"/>
    <x v="1"/>
    <x v="1"/>
    <x v="0"/>
    <x v="0"/>
    <x v="1"/>
    <n v="52"/>
    <n v="55"/>
    <n v="0.8970165690088151"/>
    <n v="0.99333572945845405"/>
    <n v="0.97677176731700821"/>
    <n v="27050"/>
    <n v="0.99168577821129666"/>
  </r>
  <r>
    <s v="REC-0919"/>
    <d v="2026-05-29T00:00:00"/>
    <x v="28"/>
    <x v="2"/>
    <x v="2"/>
    <x v="1"/>
    <x v="1"/>
    <x v="0"/>
    <n v="38"/>
    <n v="40"/>
    <n v="0.88338553562494171"/>
    <n v="0.9789708650624388"/>
    <n v="0.84424402252517505"/>
    <n v="16130"/>
    <n v="0.9575934497495836"/>
  </r>
  <r>
    <s v="REC-0920"/>
    <d v="2026-06-01T00:00:00"/>
    <x v="29"/>
    <x v="4"/>
    <x v="4"/>
    <x v="2"/>
    <x v="2"/>
    <x v="1"/>
    <n v="43"/>
    <n v="49"/>
    <n v="0.97057069400740714"/>
    <n v="0.956419020627157"/>
    <n v="0.97183593584401107"/>
    <n v="24940"/>
    <n v="1.0362866672530997"/>
  </r>
  <r>
    <s v="REC-0921"/>
    <d v="2026-06-03T00:00:00"/>
    <x v="29"/>
    <x v="0"/>
    <x v="0"/>
    <x v="0"/>
    <x v="0"/>
    <x v="0"/>
    <n v="51"/>
    <n v="57"/>
    <n v="0.92626415390137673"/>
    <n v="0.97200331863946432"/>
    <n v="0.91743974540700524"/>
    <n v="36000"/>
    <n v="1.0079133088820766"/>
  </r>
  <r>
    <s v="REC-0922"/>
    <d v="2026-06-03T00:00:00"/>
    <x v="29"/>
    <x v="0"/>
    <x v="0"/>
    <x v="0"/>
    <x v="0"/>
    <x v="0"/>
    <n v="47"/>
    <n v="44"/>
    <n v="0.97608564176240198"/>
    <n v="0.99696552787808357"/>
    <n v="0.9015005796590847"/>
    <n v="28370"/>
    <n v="0.94833444066051298"/>
  </r>
  <r>
    <s v="REC-0923"/>
    <d v="2026-06-03T00:00:00"/>
    <x v="29"/>
    <x v="0"/>
    <x v="0"/>
    <x v="0"/>
    <x v="0"/>
    <x v="0"/>
    <n v="49"/>
    <n v="56"/>
    <n v="0.95683296726675271"/>
    <n v="0.97907700328300562"/>
    <n v="0.8654976777904273"/>
    <n v="28870"/>
    <n v="1.0163121850100816"/>
  </r>
  <r>
    <s v="REC-0924"/>
    <d v="2026-06-04T00:00:00"/>
    <x v="29"/>
    <x v="2"/>
    <x v="2"/>
    <x v="1"/>
    <x v="1"/>
    <x v="0"/>
    <n v="49"/>
    <n v="46"/>
    <n v="0.90991660852335099"/>
    <n v="0.92274723755706078"/>
    <n v="0.88011670070824677"/>
    <n v="20700"/>
    <n v="0.91742478198767885"/>
  </r>
  <r>
    <s v="REC-0925"/>
    <d v="2026-06-05T00:00:00"/>
    <x v="29"/>
    <x v="0"/>
    <x v="0"/>
    <x v="0"/>
    <x v="0"/>
    <x v="0"/>
    <n v="32"/>
    <n v="33"/>
    <n v="0.95403578371947684"/>
    <n v="0.9548796514632123"/>
    <n v="0.96979806945315505"/>
    <n v="18410"/>
    <n v="0.98820050753998201"/>
  </r>
  <r>
    <s v="REC-0926"/>
    <d v="2026-06-05T00:00:00"/>
    <x v="29"/>
    <x v="5"/>
    <x v="5"/>
    <x v="1"/>
    <x v="1"/>
    <x v="2"/>
    <n v="39"/>
    <n v="38"/>
    <n v="0.95691773613943076"/>
    <n v="0.96314518014732164"/>
    <n v="0.90058907633267005"/>
    <n v="14510"/>
    <n v="0.9535626160670797"/>
  </r>
  <r>
    <s v="REC-0927"/>
    <d v="2026-06-08T00:00:00"/>
    <x v="29"/>
    <x v="0"/>
    <x v="0"/>
    <x v="0"/>
    <x v="0"/>
    <x v="0"/>
    <n v="33"/>
    <n v="33"/>
    <n v="0.90018091946455459"/>
    <n v="0.94815093235805203"/>
    <n v="0.94753334938715195"/>
    <n v="18430"/>
    <n v="0.95677453959727687"/>
  </r>
  <r>
    <s v="REC-0928"/>
    <d v="2026-06-09T00:00:00"/>
    <x v="29"/>
    <x v="0"/>
    <x v="0"/>
    <x v="0"/>
    <x v="0"/>
    <x v="0"/>
    <n v="35"/>
    <n v="38"/>
    <n v="0.95701368606247705"/>
    <n v="0.9711000723927814"/>
    <n v="0.92880951765136766"/>
    <n v="24010"/>
    <n v="1.0049660501905242"/>
  </r>
  <r>
    <s v="REC-0929"/>
    <d v="2026-06-10T00:00:00"/>
    <x v="29"/>
    <x v="0"/>
    <x v="0"/>
    <x v="0"/>
    <x v="0"/>
    <x v="0"/>
    <n v="37"/>
    <n v="41"/>
    <n v="0.92689017811079111"/>
    <n v="0.97130544630220539"/>
    <n v="0.9194165544499171"/>
    <n v="24400"/>
    <n v="1.0045449156062554"/>
  </r>
  <r>
    <s v="REC-0930"/>
    <d v="2026-06-10T00:00:00"/>
    <x v="29"/>
    <x v="1"/>
    <x v="1"/>
    <x v="0"/>
    <x v="0"/>
    <x v="1"/>
    <n v="48"/>
    <n v="48"/>
    <n v="0.9586232415747975"/>
    <n v="0.95196928561030048"/>
    <n v="0.94016521015175458"/>
    <n v="28570"/>
    <n v="0.97048424526559529"/>
  </r>
  <r>
    <s v="REC-0931"/>
    <d v="2026-06-10T00:00:00"/>
    <x v="29"/>
    <x v="4"/>
    <x v="4"/>
    <x v="2"/>
    <x v="2"/>
    <x v="1"/>
    <n v="38"/>
    <n v="44"/>
    <n v="0.93809329836957689"/>
    <n v="1"/>
    <n v="0.99060914707089975"/>
    <n v="19700"/>
    <n v="1.0458030487434162"/>
  </r>
  <r>
    <s v="REC-0932"/>
    <d v="2026-06-12T00:00:00"/>
    <x v="29"/>
    <x v="0"/>
    <x v="0"/>
    <x v="0"/>
    <x v="0"/>
    <x v="0"/>
    <n v="43"/>
    <n v="50"/>
    <n v="0.95126895711092485"/>
    <n v="0.94911476884325585"/>
    <n v="0.96200338969519739"/>
    <n v="27730"/>
    <n v="1.0377014116130265"/>
  </r>
  <r>
    <s v="REC-0933"/>
    <d v="2026-06-12T00:00:00"/>
    <x v="29"/>
    <x v="2"/>
    <x v="2"/>
    <x v="1"/>
    <x v="1"/>
    <x v="0"/>
    <n v="38"/>
    <n v="39"/>
    <n v="0.8709321345456672"/>
    <n v="0.94136497314686951"/>
    <n v="0.92896849015227934"/>
    <n v="16280"/>
    <n v="0.95525779342837691"/>
  </r>
  <r>
    <s v="REC-0934"/>
    <d v="2026-06-12T00:00:00"/>
    <x v="29"/>
    <x v="3"/>
    <x v="3"/>
    <x v="2"/>
    <x v="2"/>
    <x v="0"/>
    <n v="29"/>
    <n v="28"/>
    <n v="0.90954368410232811"/>
    <n v="0.97912295697037721"/>
    <n v="0.9283126580093447"/>
    <n v="13830"/>
    <n v="0.94612379272473179"/>
  </r>
  <r>
    <s v="REC-0935"/>
    <d v="2026-06-16T00:00:00"/>
    <x v="29"/>
    <x v="3"/>
    <x v="3"/>
    <x v="2"/>
    <x v="2"/>
    <x v="0"/>
    <n v="32"/>
    <n v="35"/>
    <n v="0.93188593570692413"/>
    <n v="0.94763758790868169"/>
    <n v="0.95119431653479192"/>
    <n v="16420"/>
    <n v="1.0028559854199917"/>
  </r>
  <r>
    <s v="REC-0936"/>
    <d v="2026-06-17T00:00:00"/>
    <x v="29"/>
    <x v="2"/>
    <x v="2"/>
    <x v="1"/>
    <x v="1"/>
    <x v="0"/>
    <n v="53"/>
    <n v="45"/>
    <n v="0.89641910273673187"/>
    <n v="0.97201729513673785"/>
    <n v="0.91189952721423129"/>
    <n v="19870"/>
    <n v="0.89190991690697397"/>
  </r>
  <r>
    <s v="REC-0937"/>
    <d v="2026-06-17T00:00:00"/>
    <x v="29"/>
    <x v="5"/>
    <x v="5"/>
    <x v="1"/>
    <x v="1"/>
    <x v="2"/>
    <n v="52"/>
    <n v="48"/>
    <n v="0.93874106289691961"/>
    <n v="0.94590648496630503"/>
    <n v="0.94403734092728508"/>
    <n v="19760"/>
    <n v="0.93460947588540189"/>
  </r>
  <r>
    <s v="REC-0938"/>
    <d v="2026-06-18T00:00:00"/>
    <x v="29"/>
    <x v="5"/>
    <x v="5"/>
    <x v="1"/>
    <x v="1"/>
    <x v="2"/>
    <n v="32"/>
    <n v="34"/>
    <n v="0.995"/>
    <n v="0.97950164384975624"/>
    <n v="0.90432299025028473"/>
    <n v="13590"/>
    <n v="1.0015398446275205"/>
  </r>
  <r>
    <s v="REC-0939"/>
    <d v="2026-06-18T00:00:00"/>
    <x v="29"/>
    <x v="4"/>
    <x v="4"/>
    <x v="2"/>
    <x v="2"/>
    <x v="1"/>
    <n v="43"/>
    <n v="48"/>
    <n v="0.96288805750490514"/>
    <n v="0.95555940638542691"/>
    <n v="0.995"/>
    <n v="20680"/>
    <n v="1.0295675532410171"/>
  </r>
  <r>
    <s v="REC-0940"/>
    <d v="2026-06-19T00:00:00"/>
    <x v="29"/>
    <x v="2"/>
    <x v="2"/>
    <x v="1"/>
    <x v="1"/>
    <x v="0"/>
    <n v="32"/>
    <n v="31"/>
    <n v="0.86249179951192967"/>
    <n v="0.9635771787858769"/>
    <n v="0.8709070080307032"/>
    <n v="12020"/>
    <n v="0.92184092830200459"/>
  </r>
  <r>
    <s v="REC-0941"/>
    <d v="2026-06-19T00:00:00"/>
    <x v="29"/>
    <x v="5"/>
    <x v="5"/>
    <x v="1"/>
    <x v="1"/>
    <x v="2"/>
    <n v="43"/>
    <n v="44"/>
    <n v="0.95697984115970602"/>
    <n v="0.99543819510148046"/>
    <n v="0.91465757200256781"/>
    <n v="19300"/>
    <n v="0.98079452953705759"/>
  </r>
  <r>
    <s v="REC-0942"/>
    <d v="2026-06-19T00:00:00"/>
    <x v="29"/>
    <x v="5"/>
    <x v="5"/>
    <x v="1"/>
    <x v="1"/>
    <x v="2"/>
    <n v="37"/>
    <n v="43"/>
    <n v="0.98731930021107073"/>
    <n v="0.98019090483244509"/>
    <n v="0.90556932779997157"/>
    <n v="20610"/>
    <n v="1.0398371912024937"/>
  </r>
  <r>
    <s v="REC-0943"/>
    <d v="2026-06-22T00:00:00"/>
    <x v="29"/>
    <x v="5"/>
    <x v="5"/>
    <x v="1"/>
    <x v="1"/>
    <x v="2"/>
    <n v="43"/>
    <n v="40"/>
    <n v="0.96419013932756947"/>
    <n v="0.97474286027402346"/>
    <n v="0.87496133931855036"/>
    <n v="16100"/>
    <n v="0.93434425499251983"/>
  </r>
  <r>
    <s v="REC-0944"/>
    <d v="2026-06-22T00:00:00"/>
    <x v="29"/>
    <x v="3"/>
    <x v="3"/>
    <x v="2"/>
    <x v="2"/>
    <x v="0"/>
    <n v="46"/>
    <n v="44"/>
    <n v="0.92604509090775677"/>
    <n v="0.94186132089772412"/>
    <n v="0.9446652886097352"/>
    <n v="18130"/>
    <n v="0.94433222423571872"/>
  </r>
  <r>
    <s v="REC-0945"/>
    <d v="2026-06-23T00:00:00"/>
    <x v="29"/>
    <x v="1"/>
    <x v="1"/>
    <x v="0"/>
    <x v="0"/>
    <x v="1"/>
    <n v="44"/>
    <n v="48"/>
    <n v="0.92996854768390014"/>
    <n v="0.9609758587391164"/>
    <n v="0.93576411126548764"/>
    <n v="25740"/>
    <n v="1.0001549743485765"/>
  </r>
  <r>
    <s v="REC-0946"/>
    <d v="2026-06-23T00:00:00"/>
    <x v="29"/>
    <x v="3"/>
    <x v="3"/>
    <x v="2"/>
    <x v="2"/>
    <x v="0"/>
    <n v="30"/>
    <n v="32"/>
    <n v="0.98269052249373035"/>
    <n v="0.97528824352245291"/>
    <n v="0.95401509424165543"/>
    <n v="13610"/>
    <n v="1.0094355526667982"/>
  </r>
  <r>
    <s v="REC-0947"/>
    <d v="2026-06-24T00:00:00"/>
    <x v="29"/>
    <x v="2"/>
    <x v="2"/>
    <x v="1"/>
    <x v="1"/>
    <x v="0"/>
    <n v="37"/>
    <n v="36"/>
    <n v="0.88436033883750964"/>
    <n v="0.95753104157413971"/>
    <n v="0.90951519703437933"/>
    <n v="15940"/>
    <n v="0.93581196954156343"/>
  </r>
  <r>
    <s v="REC-0948"/>
    <d v="2026-06-25T00:00:00"/>
    <x v="29"/>
    <x v="5"/>
    <x v="5"/>
    <x v="1"/>
    <x v="1"/>
    <x v="2"/>
    <n v="30"/>
    <n v="34"/>
    <n v="0.92113817367515904"/>
    <n v="0.97788690888020247"/>
    <n v="0.89578398854828889"/>
    <n v="12440"/>
    <n v="1.0094577107938114"/>
  </r>
  <r>
    <s v="REC-0949"/>
    <d v="2026-06-25T00:00:00"/>
    <x v="29"/>
    <x v="4"/>
    <x v="4"/>
    <x v="2"/>
    <x v="2"/>
    <x v="1"/>
    <n v="45"/>
    <n v="51"/>
    <n v="0.92188367071011901"/>
    <n v="0.97194620472651838"/>
    <n v="0.98898981549031473"/>
    <n v="22350"/>
    <n v="1.0273941448179038"/>
  </r>
  <r>
    <s v="REC-0950"/>
    <d v="2026-06-30T00:00:00"/>
    <x v="29"/>
    <x v="2"/>
    <x v="2"/>
    <x v="1"/>
    <x v="1"/>
    <x v="0"/>
    <n v="44"/>
    <n v="39"/>
    <n v="0.89076698295232892"/>
    <n v="0.93418369675360213"/>
    <n v="0.89669775985365552"/>
    <n v="16890"/>
    <n v="0.89670430676730828"/>
  </r>
  <r>
    <s v="REC-0951"/>
    <d v="2026-06-30T00:00:00"/>
    <x v="29"/>
    <x v="3"/>
    <x v="3"/>
    <x v="2"/>
    <x v="2"/>
    <x v="0"/>
    <n v="37"/>
    <n v="45"/>
    <n v="0.93765684885358569"/>
    <n v="0.96343198901458338"/>
    <n v="0.96291091255969574"/>
    <n v="22310"/>
    <n v="1.0515111930775229"/>
  </r>
  <r>
    <s v="REC-0952"/>
    <d v="2026-07-01T00:00:00"/>
    <x v="30"/>
    <x v="3"/>
    <x v="3"/>
    <x v="2"/>
    <x v="2"/>
    <x v="0"/>
    <n v="46"/>
    <n v="42"/>
    <n v="0.90687723676407583"/>
    <n v="0.94409245487110516"/>
    <n v="0.94844924103054751"/>
    <n v="18490"/>
    <n v="0.9232404169321422"/>
  </r>
  <r>
    <s v="REC-0953"/>
    <d v="2026-07-02T00:00:00"/>
    <x v="30"/>
    <x v="1"/>
    <x v="1"/>
    <x v="0"/>
    <x v="0"/>
    <x v="1"/>
    <n v="45"/>
    <n v="49"/>
    <n v="0.93828857567918567"/>
    <n v="0.97242311398496284"/>
    <n v="0.95353015300968957"/>
    <n v="27230"/>
    <n v="1.0066971971750345"/>
  </r>
  <r>
    <s v="REC-0954"/>
    <d v="2026-07-06T00:00:00"/>
    <x v="30"/>
    <x v="2"/>
    <x v="2"/>
    <x v="1"/>
    <x v="1"/>
    <x v="0"/>
    <n v="29"/>
    <n v="24"/>
    <n v="0.91886008072335068"/>
    <n v="0.94082964779886369"/>
    <n v="0.87060003665281704"/>
    <n v="9540"/>
    <n v="0.87599395743985131"/>
  </r>
  <r>
    <s v="REC-0955"/>
    <d v="2026-07-08T00:00:00"/>
    <x v="30"/>
    <x v="0"/>
    <x v="0"/>
    <x v="0"/>
    <x v="0"/>
    <x v="0"/>
    <n v="40"/>
    <n v="46"/>
    <n v="0.90662270000278389"/>
    <n v="0.97364904528959206"/>
    <n v="0.92175895546379183"/>
    <n v="26170"/>
    <n v="1.0170548228868932"/>
  </r>
  <r>
    <s v="REC-0956"/>
    <d v="2026-07-09T00:00:00"/>
    <x v="30"/>
    <x v="0"/>
    <x v="0"/>
    <x v="0"/>
    <x v="0"/>
    <x v="0"/>
    <n v="44"/>
    <n v="51"/>
    <n v="0.93046133621877758"/>
    <n v="0.9959538311694478"/>
    <n v="0.90495001999489966"/>
    <n v="30550"/>
    <n v="1.0266347763654553"/>
  </r>
  <r>
    <s v="REC-0957"/>
    <d v="2026-07-10T00:00:00"/>
    <x v="30"/>
    <x v="0"/>
    <x v="0"/>
    <x v="0"/>
    <x v="0"/>
    <x v="0"/>
    <n v="49"/>
    <n v="54"/>
    <n v="0.93235315773112437"/>
    <n v="0.9700109648653108"/>
    <n v="0.90219283944878859"/>
    <n v="27420"/>
    <n v="0.99984482858294765"/>
  </r>
  <r>
    <s v="REC-0958"/>
    <d v="2026-07-10T00:00:00"/>
    <x v="30"/>
    <x v="1"/>
    <x v="1"/>
    <x v="0"/>
    <x v="0"/>
    <x v="1"/>
    <n v="44"/>
    <n v="42"/>
    <n v="0.93039642301568792"/>
    <n v="0.96341524888684682"/>
    <n v="0.95217973719640725"/>
    <n v="23620"/>
    <n v="0.94936552234441229"/>
  </r>
  <r>
    <s v="REC-0959"/>
    <d v="2026-07-10T00:00:00"/>
    <x v="30"/>
    <x v="2"/>
    <x v="2"/>
    <x v="1"/>
    <x v="1"/>
    <x v="0"/>
    <n v="44"/>
    <n v="44"/>
    <n v="0.86899419961446434"/>
    <n v="0.94336774946735857"/>
    <n v="0.88062567524270929"/>
    <n v="18690"/>
    <n v="0.93487884737226179"/>
  </r>
  <r>
    <s v="REC-0960"/>
    <d v="2026-07-10T00:00:00"/>
    <x v="30"/>
    <x v="3"/>
    <x v="3"/>
    <x v="2"/>
    <x v="2"/>
    <x v="0"/>
    <n v="43"/>
    <n v="41"/>
    <n v="0.9472285338708567"/>
    <n v="0.99815382855176638"/>
    <n v="0.92064000358637665"/>
    <n v="18490"/>
    <n v="0.95205355730496377"/>
  </r>
  <r>
    <s v="REC-0961"/>
    <d v="2026-07-13T00:00:00"/>
    <x v="30"/>
    <x v="3"/>
    <x v="3"/>
    <x v="2"/>
    <x v="2"/>
    <x v="0"/>
    <n v="33"/>
    <n v="31"/>
    <n v="0.92070677236944165"/>
    <n v="0.95951015647138327"/>
    <n v="0.9397717453062282"/>
    <n v="13500"/>
    <n v="0.93781514138188926"/>
  </r>
  <r>
    <s v="REC-0962"/>
    <d v="2026-07-17T00:00:00"/>
    <x v="30"/>
    <x v="1"/>
    <x v="1"/>
    <x v="0"/>
    <x v="0"/>
    <x v="1"/>
    <n v="36"/>
    <n v="37"/>
    <n v="0.91623947420003238"/>
    <n v="0.96777942024336494"/>
    <n v="0.96999511473251154"/>
    <n v="21840"/>
    <n v="0.97933691564412628"/>
  </r>
  <r>
    <s v="REC-0963"/>
    <d v="2026-07-17T00:00:00"/>
    <x v="30"/>
    <x v="1"/>
    <x v="1"/>
    <x v="0"/>
    <x v="0"/>
    <x v="1"/>
    <n v="30"/>
    <n v="32"/>
    <n v="0.9357082190231244"/>
    <n v="0.94982862170630122"/>
    <n v="0.98620039493709033"/>
    <n v="18750"/>
    <n v="1.0003080936658111"/>
  </r>
  <r>
    <s v="REC-0964"/>
    <d v="2026-07-17T00:00:00"/>
    <x v="30"/>
    <x v="2"/>
    <x v="2"/>
    <x v="1"/>
    <x v="1"/>
    <x v="0"/>
    <n v="50"/>
    <n v="47"/>
    <n v="0.90002826605027886"/>
    <n v="0.95193754645951612"/>
    <n v="0.85866254795507657"/>
    <n v="21100"/>
    <n v="0.91553020807251251"/>
  </r>
  <r>
    <s v="REC-0965"/>
    <d v="2026-07-17T00:00:00"/>
    <x v="30"/>
    <x v="3"/>
    <x v="3"/>
    <x v="2"/>
    <x v="2"/>
    <x v="0"/>
    <n v="52"/>
    <n v="56"/>
    <n v="0.952178264352875"/>
    <n v="0.93185396553870514"/>
    <n v="0.93052050199293346"/>
    <n v="28960"/>
    <n v="0.99469599208684201"/>
  </r>
  <r>
    <s v="REC-0966"/>
    <d v="2026-07-17T00:00:00"/>
    <x v="30"/>
    <x v="4"/>
    <x v="4"/>
    <x v="2"/>
    <x v="2"/>
    <x v="1"/>
    <n v="55"/>
    <n v="66"/>
    <n v="0.97589547838956792"/>
    <n v="0.9825845922505555"/>
    <n v="0.96287902935884806"/>
    <n v="30610"/>
    <n v="1.0639373643067449"/>
  </r>
  <r>
    <s v="REC-0967"/>
    <d v="2026-07-23T00:00:00"/>
    <x v="30"/>
    <x v="0"/>
    <x v="0"/>
    <x v="0"/>
    <x v="0"/>
    <x v="0"/>
    <n v="46"/>
    <n v="52"/>
    <n v="0.96656366100299485"/>
    <n v="0.96965462913519462"/>
    <n v="0.95072592935152567"/>
    <n v="26110"/>
    <n v="1.0294082085348113"/>
  </r>
  <r>
    <s v="REC-0968"/>
    <d v="2026-07-24T00:00:00"/>
    <x v="30"/>
    <x v="3"/>
    <x v="3"/>
    <x v="2"/>
    <x v="2"/>
    <x v="0"/>
    <n v="36"/>
    <n v="33"/>
    <n v="0.95110106700325558"/>
    <n v="0.9525349101681585"/>
    <n v="0.89610538789362337"/>
    <n v="13810"/>
    <n v="0.92654324752142903"/>
  </r>
  <r>
    <s v="REC-0969"/>
    <d v="2026-07-24T00:00:00"/>
    <x v="30"/>
    <x v="4"/>
    <x v="4"/>
    <x v="2"/>
    <x v="2"/>
    <x v="1"/>
    <n v="33"/>
    <n v="32"/>
    <n v="0.98832158761850708"/>
    <n v="0.98448154967365253"/>
    <n v="0.96703680285475879"/>
    <n v="16940"/>
    <n v="0.97603877780541437"/>
  </r>
  <r>
    <s v="REC-0970"/>
    <d v="2026-07-24T00:00:00"/>
    <x v="30"/>
    <x v="4"/>
    <x v="4"/>
    <x v="2"/>
    <x v="2"/>
    <x v="1"/>
    <n v="53"/>
    <n v="62"/>
    <n v="0.97493219671623843"/>
    <n v="0.96721944273702554"/>
    <n v="0.98442120237491615"/>
    <n v="28290"/>
    <n v="1.0536247343664835"/>
  </r>
  <r>
    <s v="REC-0971"/>
    <d v="2026-07-27T00:00:00"/>
    <x v="30"/>
    <x v="2"/>
    <x v="2"/>
    <x v="1"/>
    <x v="1"/>
    <x v="0"/>
    <n v="39"/>
    <n v="36"/>
    <n v="0.93876081031861669"/>
    <n v="0.94503952197541741"/>
    <n v="0.87792009910341218"/>
    <n v="15230"/>
    <n v="0.92126091992741843"/>
  </r>
  <r>
    <s v="REC-0972"/>
    <d v="2026-07-27T00:00:00"/>
    <x v="30"/>
    <x v="5"/>
    <x v="5"/>
    <x v="1"/>
    <x v="1"/>
    <x v="2"/>
    <n v="51"/>
    <n v="49"/>
    <n v="0.93971841933298772"/>
    <n v="0.98469250824040466"/>
    <n v="0.87062805845826663"/>
    <n v="19210"/>
    <n v="0.94107281825115707"/>
  </r>
  <r>
    <s v="REC-0973"/>
    <d v="2026-07-31T00:00:00"/>
    <x v="30"/>
    <x v="3"/>
    <x v="3"/>
    <x v="2"/>
    <x v="2"/>
    <x v="0"/>
    <n v="35"/>
    <n v="37"/>
    <n v="0.91662809094106046"/>
    <n v="0.9547181675187153"/>
    <n v="0.91516743410456891"/>
    <n v="19220"/>
    <n v="0.97825537754112912"/>
  </r>
  <r>
    <s v="REC-0974"/>
    <d v="2026-07-31T00:00:00"/>
    <x v="30"/>
    <x v="3"/>
    <x v="3"/>
    <x v="2"/>
    <x v="2"/>
    <x v="0"/>
    <n v="52"/>
    <n v="48"/>
    <n v="0.97923493654338001"/>
    <n v="0.92194992269126042"/>
    <n v="0.96499533715038044"/>
    <n v="20060"/>
    <n v="0.94533105920037941"/>
  </r>
  <r>
    <s v="REC-0975"/>
    <d v="2026-08-03T00:00:00"/>
    <x v="31"/>
    <x v="1"/>
    <x v="1"/>
    <x v="0"/>
    <x v="0"/>
    <x v="1"/>
    <n v="28"/>
    <n v="26"/>
    <n v="0.92762853555890046"/>
    <n v="0.93844335404721313"/>
    <n v="0.98782637386972882"/>
    <n v="15910"/>
    <n v="0.94166748319932436"/>
  </r>
  <r>
    <s v="REC-0976"/>
    <d v="2026-08-05T00:00:00"/>
    <x v="31"/>
    <x v="3"/>
    <x v="3"/>
    <x v="2"/>
    <x v="2"/>
    <x v="0"/>
    <n v="48"/>
    <n v="46"/>
    <n v="0.91857297912041913"/>
    <n v="0.94614839358032155"/>
    <n v="0.98123633548141354"/>
    <n v="18720"/>
    <n v="0.95114610424676915"/>
  </r>
  <r>
    <s v="REC-0977"/>
    <d v="2026-08-07T00:00:00"/>
    <x v="31"/>
    <x v="0"/>
    <x v="0"/>
    <x v="0"/>
    <x v="0"/>
    <x v="0"/>
    <n v="51"/>
    <n v="59"/>
    <n v="0.95533566878258602"/>
    <n v="0.94511982719944398"/>
    <n v="0.91386604804022409"/>
    <n v="34530"/>
    <n v="1.0261201989228237"/>
  </r>
  <r>
    <s v="REC-0978"/>
    <d v="2026-08-10T00:00:00"/>
    <x v="31"/>
    <x v="1"/>
    <x v="1"/>
    <x v="0"/>
    <x v="0"/>
    <x v="1"/>
    <n v="55"/>
    <n v="51"/>
    <n v="0.94211372861152676"/>
    <n v="0.96560800246908296"/>
    <n v="0.90794537397334407"/>
    <n v="25360"/>
    <n v="0.93286779822700383"/>
  </r>
  <r>
    <s v="REC-0979"/>
    <d v="2026-08-12T00:00:00"/>
    <x v="31"/>
    <x v="4"/>
    <x v="4"/>
    <x v="2"/>
    <x v="2"/>
    <x v="1"/>
    <n v="48"/>
    <n v="48"/>
    <n v="0.94044950134641703"/>
    <n v="0.95656925744223253"/>
    <n v="0.97208908650347026"/>
    <n v="22320"/>
    <n v="0.97301558125363319"/>
  </r>
  <r>
    <s v="REC-0980"/>
    <d v="2026-08-13T00:00:00"/>
    <x v="31"/>
    <x v="1"/>
    <x v="1"/>
    <x v="0"/>
    <x v="0"/>
    <x v="1"/>
    <n v="38"/>
    <n v="43"/>
    <n v="0.87355468135289294"/>
    <n v="0.96124312093203623"/>
    <n v="0.97646700284247145"/>
    <n v="25920"/>
    <n v="1.0105001179938915"/>
  </r>
  <r>
    <s v="REC-0981"/>
    <d v="2026-08-14T00:00:00"/>
    <x v="31"/>
    <x v="0"/>
    <x v="0"/>
    <x v="0"/>
    <x v="0"/>
    <x v="0"/>
    <n v="35"/>
    <n v="40"/>
    <n v="0.94596768580567647"/>
    <n v="0.95660014776182412"/>
    <n v="0.93698973456449697"/>
    <n v="22000"/>
    <n v="1.0245227476714494"/>
  </r>
  <r>
    <s v="REC-0982"/>
    <d v="2026-08-14T00:00:00"/>
    <x v="31"/>
    <x v="5"/>
    <x v="5"/>
    <x v="1"/>
    <x v="1"/>
    <x v="2"/>
    <n v="39"/>
    <n v="39"/>
    <n v="0.97329515818095591"/>
    <n v="1"/>
    <n v="0.95129453818202614"/>
    <n v="17150"/>
    <n v="0.98358269718164437"/>
  </r>
  <r>
    <s v="REC-0983"/>
    <d v="2026-08-14T00:00:00"/>
    <x v="31"/>
    <x v="3"/>
    <x v="3"/>
    <x v="2"/>
    <x v="2"/>
    <x v="0"/>
    <n v="36"/>
    <n v="36"/>
    <n v="0.97296295943214262"/>
    <n v="0.96128339415091746"/>
    <n v="0.96703466636688096"/>
    <n v="17480"/>
    <n v="0.98084018225404945"/>
  </r>
  <r>
    <s v="REC-0984"/>
    <d v="2026-08-14T00:00:00"/>
    <x v="31"/>
    <x v="3"/>
    <x v="3"/>
    <x v="2"/>
    <x v="2"/>
    <x v="0"/>
    <n v="41"/>
    <n v="42"/>
    <n v="0.91055509542916302"/>
    <n v="0.919482750213648"/>
    <n v="0.93681503765922036"/>
    <n v="17700"/>
    <n v="0.96268029148215772"/>
  </r>
  <r>
    <s v="REC-0985"/>
    <d v="2026-08-18T00:00:00"/>
    <x v="31"/>
    <x v="2"/>
    <x v="2"/>
    <x v="1"/>
    <x v="1"/>
    <x v="0"/>
    <n v="44"/>
    <n v="41"/>
    <n v="0.89298143918459094"/>
    <n v="0.9468238781464926"/>
    <n v="0.86043654859695728"/>
    <n v="17280"/>
    <n v="0.91008352396478587"/>
  </r>
  <r>
    <s v="REC-0986"/>
    <d v="2026-08-19T00:00:00"/>
    <x v="31"/>
    <x v="3"/>
    <x v="3"/>
    <x v="2"/>
    <x v="2"/>
    <x v="0"/>
    <n v="39"/>
    <n v="43"/>
    <n v="0.94557277735788892"/>
    <n v="0.96161382663064565"/>
    <n v="0.96101811862888176"/>
    <n v="18500"/>
    <n v="1.0138645330854865"/>
  </r>
  <r>
    <s v="REC-0987"/>
    <d v="2026-08-21T00:00:00"/>
    <x v="31"/>
    <x v="0"/>
    <x v="0"/>
    <x v="0"/>
    <x v="0"/>
    <x v="0"/>
    <n v="48"/>
    <n v="48"/>
    <n v="0.90631302078542242"/>
    <n v="0.9621816811017212"/>
    <n v="0.95544540258168964"/>
    <n v="24950"/>
    <n v="0.96199458787795189"/>
  </r>
  <r>
    <s v="REC-0988"/>
    <d v="2026-08-21T00:00:00"/>
    <x v="31"/>
    <x v="1"/>
    <x v="1"/>
    <x v="0"/>
    <x v="0"/>
    <x v="1"/>
    <n v="39"/>
    <n v="38"/>
    <n v="0.94865455661623521"/>
    <n v="0.986584089471786"/>
    <n v="0.91769851898016552"/>
    <n v="21330"/>
    <n v="0.95843454611444945"/>
  </r>
  <r>
    <s v="REC-0989"/>
    <d v="2026-08-21T00:00:00"/>
    <x v="31"/>
    <x v="2"/>
    <x v="2"/>
    <x v="1"/>
    <x v="1"/>
    <x v="0"/>
    <n v="36"/>
    <n v="36"/>
    <n v="0.89763883031748715"/>
    <n v="0.96130358718079578"/>
    <n v="0.91692535574179412"/>
    <n v="15230"/>
    <n v="0.95199031680485002"/>
  </r>
  <r>
    <s v="REC-0990"/>
    <d v="2026-08-21T00:00:00"/>
    <x v="31"/>
    <x v="5"/>
    <x v="5"/>
    <x v="1"/>
    <x v="1"/>
    <x v="2"/>
    <n v="45"/>
    <n v="44"/>
    <n v="0.98522064771188311"/>
    <n v="0.96466702081848488"/>
    <n v="0.8893064231297565"/>
    <n v="18470"/>
    <n v="0.95997761078780597"/>
  </r>
  <r>
    <s v="REC-0991"/>
    <d v="2026-08-21T00:00:00"/>
    <x v="31"/>
    <x v="3"/>
    <x v="3"/>
    <x v="2"/>
    <x v="2"/>
    <x v="0"/>
    <n v="51"/>
    <n v="49"/>
    <n v="0.92522129783338369"/>
    <n v="0.96418540550668042"/>
    <n v="0.95091257283433039"/>
    <n v="20000"/>
    <n v="0.95042937534141014"/>
  </r>
  <r>
    <s v="REC-0992"/>
    <d v="2026-08-21T00:00:00"/>
    <x v="31"/>
    <x v="4"/>
    <x v="4"/>
    <x v="2"/>
    <x v="2"/>
    <x v="1"/>
    <n v="50"/>
    <n v="58"/>
    <n v="0.91457489723751983"/>
    <n v="0.95665140465768139"/>
    <n v="0.96751549380291813"/>
    <n v="28470"/>
    <n v="1.0296445337686158"/>
  </r>
  <r>
    <s v="REC-0993"/>
    <d v="2026-08-25T00:00:00"/>
    <x v="31"/>
    <x v="2"/>
    <x v="2"/>
    <x v="1"/>
    <x v="1"/>
    <x v="0"/>
    <n v="28"/>
    <n v="29"/>
    <n v="0.91989845490981648"/>
    <n v="0.92932498740692593"/>
    <n v="0.83904669364813811"/>
    <n v="11170"/>
    <n v="0.95146841485383504"/>
  </r>
  <r>
    <s v="REC-0994"/>
    <d v="2026-08-26T00:00:00"/>
    <x v="31"/>
    <x v="1"/>
    <x v="1"/>
    <x v="0"/>
    <x v="0"/>
    <x v="1"/>
    <n v="32"/>
    <n v="36"/>
    <n v="0.8974085240516736"/>
    <n v="0.955292743928989"/>
    <n v="0.95401148810542225"/>
    <n v="22480"/>
    <n v="1.0084483402233513"/>
  </r>
  <r>
    <s v="REC-0995"/>
    <d v="2026-08-27T00:00:00"/>
    <x v="31"/>
    <x v="5"/>
    <x v="5"/>
    <x v="1"/>
    <x v="1"/>
    <x v="2"/>
    <n v="35"/>
    <n v="39"/>
    <n v="0.90751938719465863"/>
    <n v="0.99688596337552304"/>
    <n v="0.90817271182009851"/>
    <n v="15920"/>
    <n v="1.0037615693832986"/>
  </r>
  <r>
    <s v="REC-0996"/>
    <d v="2026-08-27T00:00:00"/>
    <x v="31"/>
    <x v="3"/>
    <x v="3"/>
    <x v="2"/>
    <x v="2"/>
    <x v="0"/>
    <n v="51"/>
    <n v="58"/>
    <n v="0.93399634689059619"/>
    <n v="0.98232774007683388"/>
    <n v="0.9622880779774079"/>
    <n v="26870"/>
    <n v="1.0282078241139694"/>
  </r>
  <r>
    <s v="REC-0997"/>
    <d v="2026-08-27T00:00:00"/>
    <x v="31"/>
    <x v="4"/>
    <x v="4"/>
    <x v="2"/>
    <x v="2"/>
    <x v="1"/>
    <n v="45"/>
    <n v="51"/>
    <n v="0.99134810557618858"/>
    <n v="0.94355837206745496"/>
    <n v="0.92671574989918537"/>
    <n v="27620"/>
    <n v="1.0280472655173358"/>
  </r>
  <r>
    <s v="REC-0998"/>
    <d v="2026-08-28T00:00:00"/>
    <x v="31"/>
    <x v="2"/>
    <x v="2"/>
    <x v="1"/>
    <x v="1"/>
    <x v="0"/>
    <n v="44"/>
    <n v="40"/>
    <n v="0.88466962012559525"/>
    <n v="0.9357171371164329"/>
    <n v="0.92248511826794699"/>
    <n v="15200"/>
    <n v="0.90965836288881685"/>
  </r>
  <r>
    <s v="REC-0999"/>
    <d v="2026-08-31T00:00:00"/>
    <x v="31"/>
    <x v="2"/>
    <x v="2"/>
    <x v="1"/>
    <x v="1"/>
    <x v="0"/>
    <n v="35"/>
    <n v="34"/>
    <n v="0.89598287389454823"/>
    <n v="0.94112405233212593"/>
    <n v="0.85886894690330029"/>
    <n v="15280"/>
    <n v="0.92550954427554455"/>
  </r>
  <r>
    <s v="REC-1000"/>
    <d v="2026-08-31T00:00:00"/>
    <x v="31"/>
    <x v="3"/>
    <x v="3"/>
    <x v="2"/>
    <x v="2"/>
    <x v="0"/>
    <n v="30"/>
    <n v="27"/>
    <n v="0.90369545748189606"/>
    <n v="0.95900622963531112"/>
    <n v="0.94211100406033532"/>
    <n v="11560"/>
    <n v="0.918196999627837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50FFF-D9D4-48C6-A66B-20900E285D26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Y15:AZ22" firstHeaderRow="1" firstDataRow="1" firstDataCol="1" rowPageCount="4" colPageCount="1"/>
  <pivotFields count="18">
    <pivotField showAll="0"/>
    <pivotField numFmtId="164" showAll="0"/>
    <pivotField axis="axisPage" numFmtId="165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7">
        <item x="0"/>
        <item x="1"/>
        <item x="2"/>
        <item x="5"/>
        <item x="3"/>
        <item x="4"/>
        <item t="default"/>
      </items>
    </pivotField>
    <pivotField axis="axisRow" showAll="0">
      <items count="7">
        <item x="0"/>
        <item x="5"/>
        <item x="4"/>
        <item x="2"/>
        <item x="1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numFmtId="1" showAll="0"/>
    <pivotField numFmtId="1" showAll="0"/>
    <pivotField numFmtId="166" showAll="0"/>
    <pivotField numFmtId="166" showAll="0"/>
    <pivotField numFmtId="166" showAll="0"/>
    <pivotField numFmtId="167" showAll="0"/>
    <pivotField dataField="1" numFmtId="166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4">
    <pageField fld="7" hier="-1"/>
    <pageField fld="2" hier="-1"/>
    <pageField fld="6" hier="-1"/>
    <pageField fld="5" hier="-1"/>
  </pageFields>
  <dataFields count="1">
    <dataField name="Average of Performance Score" fld="14" subtotal="average" baseField="4" baseItem="0"/>
  </dataFields>
  <formats count="3">
    <format dxfId="42">
      <pivotArea collapsedLevelsAreSubtotals="1" fieldPosition="0">
        <references count="1">
          <reference field="4" count="1">
            <x v="0"/>
          </reference>
        </references>
      </pivotArea>
    </format>
    <format dxfId="43">
      <pivotArea collapsedLevelsAreSubtotals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44">
      <pivotArea grandRow="1"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8E988-92F7-43B8-959F-A4DA267FA4F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M8:AN12" firstHeaderRow="1" firstDataRow="1" firstDataCol="1"/>
  <pivotFields count="18">
    <pivotField showAll="0"/>
    <pivotField numFmtId="164" showAll="0"/>
    <pivotField numFmtId="165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" showAll="0"/>
    <pivotField numFmtId="1" showAll="0"/>
    <pivotField numFmtId="166" showAll="0"/>
    <pivotField numFmtId="166" showAll="0"/>
    <pivotField numFmtId="166" showAll="0"/>
    <pivotField dataField="1" numFmtId="167" showAll="0"/>
    <pivotField numFmtId="166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(AED)" fld="13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8F19F-5C0E-4DFE-B5C6-52009AE7693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F13:AG17" firstHeaderRow="1" firstDataRow="1" firstDataCol="1"/>
  <pivotFields count="18">
    <pivotField showAll="0"/>
    <pivotField numFmtId="164" showAll="0"/>
    <pivotField numFmtId="165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" showAll="0"/>
    <pivotField numFmtId="1" showAll="0"/>
    <pivotField numFmtId="166" showAll="0"/>
    <pivotField numFmtId="166" showAll="0"/>
    <pivotField numFmtId="166" showAll="0"/>
    <pivotField dataField="1" numFmtId="167" showAll="0"/>
    <pivotField numFmtId="166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(AED)" fld="13" baseField="0" baseItem="0"/>
  </dataFields>
  <formats count="3">
    <format dxfId="83">
      <pivotArea collapsedLevelsAreSubtotals="1" fieldPosition="0">
        <references count="1">
          <reference field="5" count="1">
            <x v="0"/>
          </reference>
        </references>
      </pivotArea>
    </format>
    <format dxfId="82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81">
      <pivotArea grandRow="1"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0A594-3DB0-422C-9AEB-E9CA0ECA214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W11:X18" firstHeaderRow="1" firstDataRow="1" firstDataCol="1"/>
  <pivotFields count="18">
    <pivotField showAll="0"/>
    <pivotField numFmtId="164" showAll="0"/>
    <pivotField numFmtId="165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 sortType="descending">
      <items count="7">
        <item x="0"/>
        <item x="5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numFmtId="166" showAll="0"/>
    <pivotField numFmtId="166" showAll="0"/>
    <pivotField numFmtId="166" showAll="0"/>
    <pivotField numFmtId="167" showAll="0"/>
    <pivotField dataField="1" numFmtId="166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7">
    <i>
      <x v="2"/>
    </i>
    <i>
      <x/>
    </i>
    <i>
      <x v="1"/>
    </i>
    <i>
      <x v="4"/>
    </i>
    <i>
      <x v="5"/>
    </i>
    <i>
      <x v="3"/>
    </i>
    <i t="grand">
      <x/>
    </i>
  </rowItems>
  <colItems count="1">
    <i/>
  </colItems>
  <dataFields count="1">
    <dataField name="Average of Performance Score" fld="14" subtotal="average" baseField="4" baseItem="0"/>
  </dataFields>
  <formats count="3">
    <format dxfId="86">
      <pivotArea collapsedLevelsAreSubtotals="1" fieldPosition="0">
        <references count="1">
          <reference field="4" count="1">
            <x v="0"/>
          </reference>
        </references>
      </pivotArea>
    </format>
    <format dxfId="85">
      <pivotArea collapsedLevelsAreSubtotals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  <format dxfId="84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8A003-02BD-44F7-A95F-429A8023AA3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K9:L45" firstHeaderRow="1" firstDataRow="1" firstDataCol="1"/>
  <pivotFields count="18">
    <pivotField showAll="0"/>
    <pivotField numFmtId="164" showAll="0"/>
    <pivotField axis="axisRow" numFmtId="165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66" showAll="0"/>
    <pivotField numFmtId="166" showAll="0"/>
    <pivotField numFmtId="166" showAll="0"/>
    <pivotField dataField="1" numFmtId="167" showAll="0"/>
    <pivotField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17"/>
    <field x="15"/>
    <field x="2"/>
  </rowFields>
  <rowItems count="3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Revenue (AED)" fld="13" baseField="0" baseItem="0"/>
  </dataFields>
  <formats count="36">
    <format dxfId="80">
      <pivotArea collapsedLevelsAreSubtotals="1" fieldPosition="0">
        <references count="1">
          <reference field="17" count="1">
            <x v="1"/>
          </reference>
        </references>
      </pivotArea>
    </format>
    <format dxfId="79">
      <pivotArea collapsedLevelsAreSubtotals="1" fieldPosition="0">
        <references count="2">
          <reference field="15" count="1">
            <x v="1"/>
          </reference>
          <reference field="17" count="1" selected="0">
            <x v="1"/>
          </reference>
        </references>
      </pivotArea>
    </format>
    <format dxfId="78">
      <pivotArea collapsedLevelsAreSubtotals="1" fieldPosition="0">
        <references count="2">
          <reference field="15" count="1">
            <x v="2"/>
          </reference>
          <reference field="17" count="1" selected="0">
            <x v="1"/>
          </reference>
        </references>
      </pivotArea>
    </format>
    <format dxfId="77">
      <pivotArea collapsedLevelsAreSubtotals="1" fieldPosition="0">
        <references count="2">
          <reference field="15" count="1">
            <x v="3"/>
          </reference>
          <reference field="17" count="1" selected="0">
            <x v="1"/>
          </reference>
        </references>
      </pivotArea>
    </format>
    <format dxfId="76">
      <pivotArea collapsedLevelsAreSubtotals="1" fieldPosition="0">
        <references count="2">
          <reference field="15" count="1">
            <x v="4"/>
          </reference>
          <reference field="17" count="1" selected="0">
            <x v="1"/>
          </reference>
        </references>
      </pivotArea>
    </format>
    <format dxfId="75">
      <pivotArea collapsedLevelsAreSubtotals="1" fieldPosition="0">
        <references count="2">
          <reference field="15" count="1">
            <x v="5"/>
          </reference>
          <reference field="17" count="1" selected="0">
            <x v="1"/>
          </reference>
        </references>
      </pivotArea>
    </format>
    <format dxfId="74">
      <pivotArea collapsedLevelsAreSubtotals="1" fieldPosition="0">
        <references count="2">
          <reference field="15" count="1">
            <x v="6"/>
          </reference>
          <reference field="17" count="1" selected="0">
            <x v="1"/>
          </reference>
        </references>
      </pivotArea>
    </format>
    <format dxfId="73">
      <pivotArea collapsedLevelsAreSubtotals="1" fieldPosition="0">
        <references count="2">
          <reference field="15" count="1">
            <x v="7"/>
          </reference>
          <reference field="17" count="1" selected="0">
            <x v="1"/>
          </reference>
        </references>
      </pivotArea>
    </format>
    <format dxfId="72">
      <pivotArea collapsedLevelsAreSubtotals="1" fieldPosition="0">
        <references count="2">
          <reference field="15" count="1">
            <x v="8"/>
          </reference>
          <reference field="17" count="1" selected="0">
            <x v="1"/>
          </reference>
        </references>
      </pivotArea>
    </format>
    <format dxfId="71">
      <pivotArea collapsedLevelsAreSubtotals="1" fieldPosition="0">
        <references count="2">
          <reference field="15" count="1">
            <x v="9"/>
          </reference>
          <reference field="17" count="1" selected="0">
            <x v="1"/>
          </reference>
        </references>
      </pivotArea>
    </format>
    <format dxfId="70">
      <pivotArea collapsedLevelsAreSubtotals="1" fieldPosition="0">
        <references count="2">
          <reference field="15" count="1">
            <x v="10"/>
          </reference>
          <reference field="17" count="1" selected="0">
            <x v="1"/>
          </reference>
        </references>
      </pivotArea>
    </format>
    <format dxfId="69">
      <pivotArea collapsedLevelsAreSubtotals="1" fieldPosition="0">
        <references count="2">
          <reference field="15" count="1">
            <x v="11"/>
          </reference>
          <reference field="17" count="1" selected="0">
            <x v="1"/>
          </reference>
        </references>
      </pivotArea>
    </format>
    <format dxfId="68">
      <pivotArea collapsedLevelsAreSubtotals="1" fieldPosition="0">
        <references count="2">
          <reference field="15" count="1">
            <x v="12"/>
          </reference>
          <reference field="17" count="1" selected="0">
            <x v="1"/>
          </reference>
        </references>
      </pivotArea>
    </format>
    <format dxfId="67">
      <pivotArea collapsedLevelsAreSubtotals="1" fieldPosition="0">
        <references count="1">
          <reference field="17" count="1">
            <x v="2"/>
          </reference>
        </references>
      </pivotArea>
    </format>
    <format dxfId="66">
      <pivotArea collapsedLevelsAreSubtotals="1" fieldPosition="0">
        <references count="2">
          <reference field="15" count="1">
            <x v="1"/>
          </reference>
          <reference field="17" count="1" selected="0">
            <x v="2"/>
          </reference>
        </references>
      </pivotArea>
    </format>
    <format dxfId="65">
      <pivotArea collapsedLevelsAreSubtotals="1" fieldPosition="0">
        <references count="2">
          <reference field="15" count="1">
            <x v="2"/>
          </reference>
          <reference field="17" count="1" selected="0">
            <x v="2"/>
          </reference>
        </references>
      </pivotArea>
    </format>
    <format dxfId="64">
      <pivotArea collapsedLevelsAreSubtotals="1" fieldPosition="0">
        <references count="2">
          <reference field="15" count="1">
            <x v="3"/>
          </reference>
          <reference field="17" count="1" selected="0">
            <x v="2"/>
          </reference>
        </references>
      </pivotArea>
    </format>
    <format dxfId="63">
      <pivotArea collapsedLevelsAreSubtotals="1" fieldPosition="0">
        <references count="2">
          <reference field="15" count="1">
            <x v="4"/>
          </reference>
          <reference field="17" count="1" selected="0">
            <x v="2"/>
          </reference>
        </references>
      </pivotArea>
    </format>
    <format dxfId="62">
      <pivotArea collapsedLevelsAreSubtotals="1" fieldPosition="0">
        <references count="2">
          <reference field="15" count="1">
            <x v="5"/>
          </reference>
          <reference field="17" count="1" selected="0">
            <x v="2"/>
          </reference>
        </references>
      </pivotArea>
    </format>
    <format dxfId="61">
      <pivotArea collapsedLevelsAreSubtotals="1" fieldPosition="0">
        <references count="2">
          <reference field="15" count="1">
            <x v="6"/>
          </reference>
          <reference field="17" count="1" selected="0">
            <x v="2"/>
          </reference>
        </references>
      </pivotArea>
    </format>
    <format dxfId="60">
      <pivotArea collapsedLevelsAreSubtotals="1" fieldPosition="0">
        <references count="2">
          <reference field="15" count="1">
            <x v="7"/>
          </reference>
          <reference field="17" count="1" selected="0">
            <x v="2"/>
          </reference>
        </references>
      </pivotArea>
    </format>
    <format dxfId="59">
      <pivotArea collapsedLevelsAreSubtotals="1" fieldPosition="0">
        <references count="2">
          <reference field="15" count="1">
            <x v="8"/>
          </reference>
          <reference field="17" count="1" selected="0">
            <x v="2"/>
          </reference>
        </references>
      </pivotArea>
    </format>
    <format dxfId="58">
      <pivotArea collapsedLevelsAreSubtotals="1" fieldPosition="0">
        <references count="2">
          <reference field="15" count="1">
            <x v="9"/>
          </reference>
          <reference field="17" count="1" selected="0">
            <x v="2"/>
          </reference>
        </references>
      </pivotArea>
    </format>
    <format dxfId="57">
      <pivotArea collapsedLevelsAreSubtotals="1" fieldPosition="0">
        <references count="2">
          <reference field="15" count="1">
            <x v="10"/>
          </reference>
          <reference field="17" count="1" selected="0">
            <x v="2"/>
          </reference>
        </references>
      </pivotArea>
    </format>
    <format dxfId="56">
      <pivotArea collapsedLevelsAreSubtotals="1" fieldPosition="0">
        <references count="2">
          <reference field="15" count="1">
            <x v="11"/>
          </reference>
          <reference field="17" count="1" selected="0">
            <x v="2"/>
          </reference>
        </references>
      </pivotArea>
    </format>
    <format dxfId="55">
      <pivotArea collapsedLevelsAreSubtotals="1" fieldPosition="0">
        <references count="2">
          <reference field="15" count="1">
            <x v="12"/>
          </reference>
          <reference field="17" count="1" selected="0">
            <x v="2"/>
          </reference>
        </references>
      </pivotArea>
    </format>
    <format dxfId="54">
      <pivotArea collapsedLevelsAreSubtotals="1" fieldPosition="0">
        <references count="1">
          <reference field="17" count="1">
            <x v="3"/>
          </reference>
        </references>
      </pivotArea>
    </format>
    <format dxfId="53">
      <pivotArea collapsedLevelsAreSubtotals="1" fieldPosition="0">
        <references count="2">
          <reference field="15" count="1">
            <x v="1"/>
          </reference>
          <reference field="17" count="1" selected="0">
            <x v="3"/>
          </reference>
        </references>
      </pivotArea>
    </format>
    <format dxfId="52">
      <pivotArea collapsedLevelsAreSubtotals="1" fieldPosition="0">
        <references count="2">
          <reference field="15" count="1">
            <x v="2"/>
          </reference>
          <reference field="17" count="1" selected="0">
            <x v="3"/>
          </reference>
        </references>
      </pivotArea>
    </format>
    <format dxfId="51">
      <pivotArea collapsedLevelsAreSubtotals="1" fieldPosition="0">
        <references count="2">
          <reference field="15" count="1">
            <x v="3"/>
          </reference>
          <reference field="17" count="1" selected="0">
            <x v="3"/>
          </reference>
        </references>
      </pivotArea>
    </format>
    <format dxfId="50">
      <pivotArea collapsedLevelsAreSubtotals="1" fieldPosition="0">
        <references count="2">
          <reference field="15" count="1">
            <x v="4"/>
          </reference>
          <reference field="17" count="1" selected="0">
            <x v="3"/>
          </reference>
        </references>
      </pivotArea>
    </format>
    <format dxfId="49">
      <pivotArea collapsedLevelsAreSubtotals="1" fieldPosition="0">
        <references count="2">
          <reference field="15" count="1">
            <x v="5"/>
          </reference>
          <reference field="17" count="1" selected="0">
            <x v="3"/>
          </reference>
        </references>
      </pivotArea>
    </format>
    <format dxfId="48">
      <pivotArea collapsedLevelsAreSubtotals="1" fieldPosition="0">
        <references count="2">
          <reference field="15" count="1">
            <x v="6"/>
          </reference>
          <reference field="17" count="1" selected="0">
            <x v="3"/>
          </reference>
        </references>
      </pivotArea>
    </format>
    <format dxfId="47">
      <pivotArea collapsedLevelsAreSubtotals="1" fieldPosition="0">
        <references count="2">
          <reference field="15" count="1">
            <x v="7"/>
          </reference>
          <reference field="17" count="1" selected="0">
            <x v="3"/>
          </reference>
        </references>
      </pivotArea>
    </format>
    <format dxfId="46">
      <pivotArea collapsedLevelsAreSubtotals="1" fieldPosition="0">
        <references count="2">
          <reference field="15" count="1">
            <x v="8"/>
          </reference>
          <reference field="17" count="1" selected="0">
            <x v="3"/>
          </reference>
        </references>
      </pivotArea>
    </format>
    <format dxfId="45">
      <pivotArea grandRow="1"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O1001" totalsRowShown="0">
  <autoFilter ref="A1:O1001" xr:uid="{00000000-000C-0000-FFFF-FFFF00000000}"/>
  <tableColumns count="15">
    <tableColumn id="1" xr3:uid="{00000000-0010-0000-0000-000001000000}" name="Record ID"/>
    <tableColumn id="2" xr3:uid="{00000000-0010-0000-0000-000002000000}" name="Date"/>
    <tableColumn id="3" xr3:uid="{00000000-0010-0000-0000-000003000000}" name="Month"/>
    <tableColumn id="4" xr3:uid="{00000000-0010-0000-0000-000004000000}" name="Employee ID"/>
    <tableColumn id="5" xr3:uid="{00000000-0010-0000-0000-000005000000}" name="Employee Name"/>
    <tableColumn id="6" xr3:uid="{00000000-0010-0000-0000-000006000000}" name="Department"/>
    <tableColumn id="7" xr3:uid="{00000000-0010-0000-0000-000007000000}" name="Team"/>
    <tableColumn id="8" xr3:uid="{00000000-0010-0000-0000-000008000000}" name="Location"/>
    <tableColumn id="9" xr3:uid="{00000000-0010-0000-0000-000009000000}" name="Target Tasks"/>
    <tableColumn id="10" xr3:uid="{00000000-0010-0000-0000-00000A000000}" name="Completed Tasks"/>
    <tableColumn id="11" xr3:uid="{00000000-0010-0000-0000-00000B000000}" name="Quality Score"/>
    <tableColumn id="12" xr3:uid="{00000000-0010-0000-0000-00000C000000}" name="Attendance Rate"/>
    <tableColumn id="13" xr3:uid="{00000000-0010-0000-0000-00000D000000}" name="Customer Satisfaction"/>
    <tableColumn id="14" xr3:uid="{00000000-0010-0000-0000-00000E000000}" name="Revenue (AED)"/>
    <tableColumn id="15" xr3:uid="{00000000-0010-0000-0000-00000F000000}" name="Performance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F1" workbookViewId="0">
      <selection activeCell="O8" sqref="O8"/>
    </sheetView>
  </sheetViews>
  <sheetFormatPr defaultRowHeight="13.8"/>
  <cols>
    <col min="1" max="1" width="14" customWidth="1"/>
    <col min="2" max="2" width="12.3984375" customWidth="1"/>
    <col min="3" max="3" width="13" customWidth="1"/>
    <col min="4" max="4" width="15.59765625" customWidth="1"/>
    <col min="5" max="7" width="22" customWidth="1"/>
    <col min="8" max="8" width="15" customWidth="1"/>
    <col min="9" max="9" width="14" customWidth="1"/>
    <col min="10" max="10" width="19.09765625" customWidth="1"/>
    <col min="11" max="11" width="18" customWidth="1"/>
    <col min="12" max="12" width="20" customWidth="1"/>
    <col min="13" max="13" width="25.796875" customWidth="1"/>
    <col min="14" max="14" width="17.5" customWidth="1"/>
    <col min="15" max="15" width="21.796875" customWidth="1"/>
  </cols>
  <sheetData>
    <row r="1" spans="1:15" ht="20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4">
        <v>45292</v>
      </c>
      <c r="C2" s="5">
        <f t="shared" ref="C2:C65" si="0">DATE(YEAR(B2),MONTH(B2),1)</f>
        <v>45292</v>
      </c>
      <c r="D2" s="3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6">
        <v>38</v>
      </c>
      <c r="J2" s="6">
        <v>42</v>
      </c>
      <c r="K2" s="7">
        <v>0.93172764058714697</v>
      </c>
      <c r="L2" s="7">
        <v>0.9895123122148568</v>
      </c>
      <c r="M2" s="7">
        <v>0.96136050230160208</v>
      </c>
      <c r="N2" s="8">
        <v>26850</v>
      </c>
      <c r="O2" s="7">
        <f t="shared" ref="O2:O65" si="1">MIN(J2/I2,1.2)*40%+K2*25%+L2*15%+M2*20%</f>
        <v>1.0157361205972304</v>
      </c>
    </row>
    <row r="3" spans="1:15">
      <c r="A3" s="3" t="s">
        <v>21</v>
      </c>
      <c r="B3" s="4">
        <v>45293</v>
      </c>
      <c r="C3" s="5">
        <f t="shared" si="0"/>
        <v>45292</v>
      </c>
      <c r="D3" s="3" t="s">
        <v>22</v>
      </c>
      <c r="E3" s="2" t="s">
        <v>23</v>
      </c>
      <c r="F3" s="2" t="s">
        <v>18</v>
      </c>
      <c r="G3" s="2" t="s">
        <v>19</v>
      </c>
      <c r="H3" s="3" t="s">
        <v>24</v>
      </c>
      <c r="I3" s="6">
        <v>55</v>
      </c>
      <c r="J3" s="6">
        <v>51</v>
      </c>
      <c r="K3" s="7">
        <v>0.90232728734569434</v>
      </c>
      <c r="L3" s="7">
        <v>0.95194406625286887</v>
      </c>
      <c r="M3" s="7">
        <v>0.91905391714223372</v>
      </c>
      <c r="N3" s="8">
        <v>26660</v>
      </c>
      <c r="O3" s="7">
        <f t="shared" si="1"/>
        <v>0.92309330611189155</v>
      </c>
    </row>
    <row r="4" spans="1:15">
      <c r="A4" s="3" t="s">
        <v>25</v>
      </c>
      <c r="B4" s="4">
        <v>45293</v>
      </c>
      <c r="C4" s="5">
        <f t="shared" si="0"/>
        <v>45292</v>
      </c>
      <c r="D4" s="3" t="s">
        <v>26</v>
      </c>
      <c r="E4" s="2" t="s">
        <v>27</v>
      </c>
      <c r="F4" s="2" t="s">
        <v>28</v>
      </c>
      <c r="G4" s="2" t="s">
        <v>29</v>
      </c>
      <c r="H4" s="3" t="s">
        <v>20</v>
      </c>
      <c r="I4" s="6">
        <v>52</v>
      </c>
      <c r="J4" s="6">
        <v>44</v>
      </c>
      <c r="K4" s="7">
        <v>0.85940764616921284</v>
      </c>
      <c r="L4" s="7">
        <v>0.94879676856038764</v>
      </c>
      <c r="M4" s="7">
        <v>0.87747923139820061</v>
      </c>
      <c r="N4" s="8">
        <v>17610</v>
      </c>
      <c r="O4" s="7">
        <f t="shared" si="1"/>
        <v>0.87112881156753996</v>
      </c>
    </row>
    <row r="5" spans="1:15">
      <c r="A5" s="3" t="s">
        <v>30</v>
      </c>
      <c r="B5" s="4">
        <v>45295</v>
      </c>
      <c r="C5" s="5">
        <f t="shared" si="0"/>
        <v>45292</v>
      </c>
      <c r="D5" s="3" t="s">
        <v>16</v>
      </c>
      <c r="E5" s="2" t="s">
        <v>17</v>
      </c>
      <c r="F5" s="2" t="s">
        <v>18</v>
      </c>
      <c r="G5" s="2" t="s">
        <v>19</v>
      </c>
      <c r="H5" s="3" t="s">
        <v>20</v>
      </c>
      <c r="I5" s="6">
        <v>51</v>
      </c>
      <c r="J5" s="6">
        <v>56</v>
      </c>
      <c r="K5" s="7">
        <v>0.92626725912830454</v>
      </c>
      <c r="L5" s="7">
        <v>0.95870708140875283</v>
      </c>
      <c r="M5" s="7">
        <v>0.92993761780103334</v>
      </c>
      <c r="N5" s="8">
        <v>35720</v>
      </c>
      <c r="O5" s="7">
        <f t="shared" si="1"/>
        <v>1.0005760868281055</v>
      </c>
    </row>
    <row r="6" spans="1:15">
      <c r="A6" s="3" t="s">
        <v>31</v>
      </c>
      <c r="B6" s="4">
        <v>45296</v>
      </c>
      <c r="C6" s="5">
        <f t="shared" si="0"/>
        <v>45292</v>
      </c>
      <c r="D6" s="3" t="s">
        <v>16</v>
      </c>
      <c r="E6" s="2" t="s">
        <v>17</v>
      </c>
      <c r="F6" s="2" t="s">
        <v>18</v>
      </c>
      <c r="G6" s="2" t="s">
        <v>19</v>
      </c>
      <c r="H6" s="3" t="s">
        <v>20</v>
      </c>
      <c r="I6" s="6">
        <v>47</v>
      </c>
      <c r="J6" s="6">
        <v>51</v>
      </c>
      <c r="K6" s="7">
        <v>0.9276362121173779</v>
      </c>
      <c r="L6" s="7">
        <v>0.9526510415717987</v>
      </c>
      <c r="M6" s="7">
        <v>0.9137447896795835</v>
      </c>
      <c r="N6" s="8">
        <v>28620</v>
      </c>
      <c r="O6" s="7">
        <f t="shared" si="1"/>
        <v>0.99159822039252032</v>
      </c>
    </row>
    <row r="7" spans="1:15">
      <c r="A7" s="3" t="s">
        <v>32</v>
      </c>
      <c r="B7" s="4">
        <v>45296</v>
      </c>
      <c r="C7" s="5">
        <f t="shared" si="0"/>
        <v>45292</v>
      </c>
      <c r="D7" s="3" t="s">
        <v>22</v>
      </c>
      <c r="E7" s="2" t="s">
        <v>23</v>
      </c>
      <c r="F7" s="2" t="s">
        <v>18</v>
      </c>
      <c r="G7" s="2" t="s">
        <v>19</v>
      </c>
      <c r="H7" s="3" t="s">
        <v>24</v>
      </c>
      <c r="I7" s="6">
        <v>28</v>
      </c>
      <c r="J7" s="6">
        <v>28</v>
      </c>
      <c r="K7" s="7">
        <v>0.92977855360828188</v>
      </c>
      <c r="L7" s="7">
        <v>0.93824672907583861</v>
      </c>
      <c r="M7" s="7">
        <v>0.90403076590478493</v>
      </c>
      <c r="N7" s="8">
        <v>15180</v>
      </c>
      <c r="O7" s="7">
        <f t="shared" si="1"/>
        <v>0.95398780094440339</v>
      </c>
    </row>
    <row r="8" spans="1:15">
      <c r="A8" s="3" t="s">
        <v>33</v>
      </c>
      <c r="B8" s="4">
        <v>45300</v>
      </c>
      <c r="C8" s="5">
        <f t="shared" si="0"/>
        <v>45292</v>
      </c>
      <c r="D8" s="3" t="s">
        <v>34</v>
      </c>
      <c r="E8" s="2" t="s">
        <v>35</v>
      </c>
      <c r="F8" s="2" t="s">
        <v>36</v>
      </c>
      <c r="G8" s="2" t="s">
        <v>37</v>
      </c>
      <c r="H8" s="3" t="s">
        <v>20</v>
      </c>
      <c r="I8" s="6">
        <v>55</v>
      </c>
      <c r="J8" s="6">
        <v>55</v>
      </c>
      <c r="K8" s="7">
        <v>0.93842346297729695</v>
      </c>
      <c r="L8" s="7">
        <v>0.9584400898779033</v>
      </c>
      <c r="M8" s="7">
        <v>0.96565996070519478</v>
      </c>
      <c r="N8" s="8">
        <v>24780</v>
      </c>
      <c r="O8" s="7">
        <f t="shared" si="1"/>
        <v>0.97150387136704874</v>
      </c>
    </row>
    <row r="9" spans="1:15">
      <c r="A9" s="3" t="s">
        <v>38</v>
      </c>
      <c r="B9" s="4">
        <v>45301</v>
      </c>
      <c r="C9" s="5">
        <f t="shared" si="0"/>
        <v>45292</v>
      </c>
      <c r="D9" s="3" t="s">
        <v>39</v>
      </c>
      <c r="E9" s="2" t="s">
        <v>40</v>
      </c>
      <c r="F9" s="2" t="s">
        <v>36</v>
      </c>
      <c r="G9" s="2" t="s">
        <v>37</v>
      </c>
      <c r="H9" s="3" t="s">
        <v>24</v>
      </c>
      <c r="I9" s="6">
        <v>55</v>
      </c>
      <c r="J9" s="6">
        <v>63</v>
      </c>
      <c r="K9" s="7">
        <v>0.98761873154021929</v>
      </c>
      <c r="L9" s="7">
        <v>0.96188981884419056</v>
      </c>
      <c r="M9" s="7">
        <v>0.995</v>
      </c>
      <c r="N9" s="8">
        <v>34320</v>
      </c>
      <c r="O9" s="7">
        <f t="shared" si="1"/>
        <v>1.0483699738935017</v>
      </c>
    </row>
    <row r="10" spans="1:15">
      <c r="A10" s="3" t="s">
        <v>41</v>
      </c>
      <c r="B10" s="4">
        <v>45302</v>
      </c>
      <c r="C10" s="5">
        <f t="shared" si="0"/>
        <v>45292</v>
      </c>
      <c r="D10" s="3" t="s">
        <v>34</v>
      </c>
      <c r="E10" s="2" t="s">
        <v>35</v>
      </c>
      <c r="F10" s="2" t="s">
        <v>36</v>
      </c>
      <c r="G10" s="2" t="s">
        <v>37</v>
      </c>
      <c r="H10" s="3" t="s">
        <v>20</v>
      </c>
      <c r="I10" s="6">
        <v>31</v>
      </c>
      <c r="J10" s="6">
        <v>30</v>
      </c>
      <c r="K10" s="7">
        <v>0.95989637248878212</v>
      </c>
      <c r="L10" s="7">
        <v>0.93643893081588625</v>
      </c>
      <c r="M10" s="7">
        <v>0.9358062895662782</v>
      </c>
      <c r="N10" s="8">
        <v>14190</v>
      </c>
      <c r="O10" s="7">
        <f t="shared" si="1"/>
        <v>0.95469796485138247</v>
      </c>
    </row>
    <row r="11" spans="1:15">
      <c r="A11" s="3" t="s">
        <v>42</v>
      </c>
      <c r="B11" s="4">
        <v>45303</v>
      </c>
      <c r="C11" s="5">
        <f t="shared" si="0"/>
        <v>45292</v>
      </c>
      <c r="D11" s="3" t="s">
        <v>43</v>
      </c>
      <c r="E11" s="2" t="s">
        <v>44</v>
      </c>
      <c r="F11" s="2" t="s">
        <v>28</v>
      </c>
      <c r="G11" s="2" t="s">
        <v>29</v>
      </c>
      <c r="H11" s="3" t="s">
        <v>45</v>
      </c>
      <c r="I11" s="6">
        <v>48</v>
      </c>
      <c r="J11" s="6">
        <v>53</v>
      </c>
      <c r="K11" s="7">
        <v>0.93816487247412406</v>
      </c>
      <c r="L11" s="7">
        <v>0.95932480564679201</v>
      </c>
      <c r="M11" s="7">
        <v>0.92605972902718259</v>
      </c>
      <c r="N11" s="8">
        <v>20350</v>
      </c>
      <c r="O11" s="7">
        <f t="shared" si="1"/>
        <v>1.0053185514376533</v>
      </c>
    </row>
    <row r="12" spans="1:15">
      <c r="A12" s="3" t="s">
        <v>46</v>
      </c>
      <c r="B12" s="4">
        <v>45303</v>
      </c>
      <c r="C12" s="5">
        <f t="shared" si="0"/>
        <v>45292</v>
      </c>
      <c r="D12" s="3" t="s">
        <v>43</v>
      </c>
      <c r="E12" s="2" t="s">
        <v>44</v>
      </c>
      <c r="F12" s="2" t="s">
        <v>28</v>
      </c>
      <c r="G12" s="2" t="s">
        <v>29</v>
      </c>
      <c r="H12" s="3" t="s">
        <v>45</v>
      </c>
      <c r="I12" s="6">
        <v>37</v>
      </c>
      <c r="J12" s="6">
        <v>40</v>
      </c>
      <c r="K12" s="7">
        <v>0.93800889248782693</v>
      </c>
      <c r="L12" s="7">
        <v>0.96002558446250763</v>
      </c>
      <c r="M12" s="7">
        <v>0.85786199183370637</v>
      </c>
      <c r="N12" s="8">
        <v>17680</v>
      </c>
      <c r="O12" s="7">
        <f t="shared" si="1"/>
        <v>0.98251089159050664</v>
      </c>
    </row>
    <row r="13" spans="1:15">
      <c r="A13" s="3" t="s">
        <v>47</v>
      </c>
      <c r="B13" s="4">
        <v>45303</v>
      </c>
      <c r="C13" s="5">
        <f t="shared" si="0"/>
        <v>45292</v>
      </c>
      <c r="D13" s="3" t="s">
        <v>34</v>
      </c>
      <c r="E13" s="2" t="s">
        <v>35</v>
      </c>
      <c r="F13" s="2" t="s">
        <v>36</v>
      </c>
      <c r="G13" s="2" t="s">
        <v>37</v>
      </c>
      <c r="H13" s="3" t="s">
        <v>20</v>
      </c>
      <c r="I13" s="6">
        <v>46</v>
      </c>
      <c r="J13" s="6">
        <v>43</v>
      </c>
      <c r="K13" s="7">
        <v>0.95793119137108262</v>
      </c>
      <c r="L13" s="7">
        <v>0.93479791340592577</v>
      </c>
      <c r="M13" s="7">
        <v>0.995</v>
      </c>
      <c r="N13" s="8">
        <v>18620</v>
      </c>
      <c r="O13" s="7">
        <f t="shared" si="1"/>
        <v>0.95261552833192042</v>
      </c>
    </row>
    <row r="14" spans="1:15">
      <c r="A14" s="3" t="s">
        <v>48</v>
      </c>
      <c r="B14" s="4">
        <v>45303</v>
      </c>
      <c r="C14" s="5">
        <f t="shared" si="0"/>
        <v>45292</v>
      </c>
      <c r="D14" s="3" t="s">
        <v>39</v>
      </c>
      <c r="E14" s="2" t="s">
        <v>40</v>
      </c>
      <c r="F14" s="2" t="s">
        <v>36</v>
      </c>
      <c r="G14" s="2" t="s">
        <v>37</v>
      </c>
      <c r="H14" s="3" t="s">
        <v>24</v>
      </c>
      <c r="I14" s="6">
        <v>45</v>
      </c>
      <c r="J14" s="6">
        <v>49</v>
      </c>
      <c r="K14" s="7">
        <v>0.95028193832468089</v>
      </c>
      <c r="L14" s="7">
        <v>1</v>
      </c>
      <c r="M14" s="7">
        <v>0.97913581143058737</v>
      </c>
      <c r="N14" s="8">
        <v>23040</v>
      </c>
      <c r="O14" s="7">
        <f t="shared" si="1"/>
        <v>1.0189532024228432</v>
      </c>
    </row>
    <row r="15" spans="1:15">
      <c r="A15" s="3" t="s">
        <v>49</v>
      </c>
      <c r="B15" s="4">
        <v>45303</v>
      </c>
      <c r="C15" s="5">
        <f t="shared" si="0"/>
        <v>45292</v>
      </c>
      <c r="D15" s="3" t="s">
        <v>39</v>
      </c>
      <c r="E15" s="2" t="s">
        <v>40</v>
      </c>
      <c r="F15" s="2" t="s">
        <v>36</v>
      </c>
      <c r="G15" s="2" t="s">
        <v>37</v>
      </c>
      <c r="H15" s="3" t="s">
        <v>24</v>
      </c>
      <c r="I15" s="6">
        <v>31</v>
      </c>
      <c r="J15" s="6">
        <v>37</v>
      </c>
      <c r="K15" s="7">
        <v>0.95376401424669344</v>
      </c>
      <c r="L15" s="7">
        <v>0.94337243142030092</v>
      </c>
      <c r="M15" s="7">
        <v>0.995</v>
      </c>
      <c r="N15" s="8">
        <v>16700</v>
      </c>
      <c r="O15" s="7">
        <f t="shared" si="1"/>
        <v>1.0563662231134283</v>
      </c>
    </row>
    <row r="16" spans="1:15">
      <c r="A16" s="3" t="s">
        <v>50</v>
      </c>
      <c r="B16" s="4">
        <v>45307</v>
      </c>
      <c r="C16" s="5">
        <f t="shared" si="0"/>
        <v>45292</v>
      </c>
      <c r="D16" s="3" t="s">
        <v>26</v>
      </c>
      <c r="E16" s="2" t="s">
        <v>27</v>
      </c>
      <c r="F16" s="2" t="s">
        <v>28</v>
      </c>
      <c r="G16" s="2" t="s">
        <v>29</v>
      </c>
      <c r="H16" s="3" t="s">
        <v>20</v>
      </c>
      <c r="I16" s="6">
        <v>43</v>
      </c>
      <c r="J16" s="6">
        <v>41</v>
      </c>
      <c r="K16" s="7">
        <v>0.92562855295304258</v>
      </c>
      <c r="L16" s="7">
        <v>0.95470649245732941</v>
      </c>
      <c r="M16" s="7">
        <v>0.85907916250057637</v>
      </c>
      <c r="N16" s="8">
        <v>15850</v>
      </c>
      <c r="O16" s="7">
        <f t="shared" si="1"/>
        <v>0.92782429344418471</v>
      </c>
    </row>
    <row r="17" spans="1:15">
      <c r="A17" s="3" t="s">
        <v>51</v>
      </c>
      <c r="B17" s="4">
        <v>45310</v>
      </c>
      <c r="C17" s="5">
        <f t="shared" si="0"/>
        <v>45292</v>
      </c>
      <c r="D17" s="3" t="s">
        <v>22</v>
      </c>
      <c r="E17" s="2" t="s">
        <v>23</v>
      </c>
      <c r="F17" s="2" t="s">
        <v>18</v>
      </c>
      <c r="G17" s="2" t="s">
        <v>19</v>
      </c>
      <c r="H17" s="3" t="s">
        <v>24</v>
      </c>
      <c r="I17" s="6">
        <v>49</v>
      </c>
      <c r="J17" s="6">
        <v>54</v>
      </c>
      <c r="K17" s="7">
        <v>0.92114598489861643</v>
      </c>
      <c r="L17" s="7">
        <v>0.96547483904257969</v>
      </c>
      <c r="M17" s="7">
        <v>0.995</v>
      </c>
      <c r="N17" s="8">
        <v>28410</v>
      </c>
      <c r="O17" s="7">
        <f t="shared" si="1"/>
        <v>1.0149240486116533</v>
      </c>
    </row>
    <row r="18" spans="1:15">
      <c r="A18" s="3" t="s">
        <v>52</v>
      </c>
      <c r="B18" s="4">
        <v>45310</v>
      </c>
      <c r="C18" s="5">
        <f t="shared" si="0"/>
        <v>45292</v>
      </c>
      <c r="D18" s="3" t="s">
        <v>22</v>
      </c>
      <c r="E18" s="2" t="s">
        <v>23</v>
      </c>
      <c r="F18" s="2" t="s">
        <v>18</v>
      </c>
      <c r="G18" s="2" t="s">
        <v>19</v>
      </c>
      <c r="H18" s="3" t="s">
        <v>24</v>
      </c>
      <c r="I18" s="6">
        <v>34</v>
      </c>
      <c r="J18" s="6">
        <v>31</v>
      </c>
      <c r="K18" s="7">
        <v>0.90960225265500427</v>
      </c>
      <c r="L18" s="7">
        <v>0.98773717819590456</v>
      </c>
      <c r="M18" s="7">
        <v>0.92581122458831244</v>
      </c>
      <c r="N18" s="8">
        <v>15170</v>
      </c>
      <c r="O18" s="7">
        <f t="shared" si="1"/>
        <v>0.92542926716374041</v>
      </c>
    </row>
    <row r="19" spans="1:15">
      <c r="A19" s="3" t="s">
        <v>53</v>
      </c>
      <c r="B19" s="4">
        <v>45310</v>
      </c>
      <c r="C19" s="5">
        <f t="shared" si="0"/>
        <v>45292</v>
      </c>
      <c r="D19" s="3" t="s">
        <v>39</v>
      </c>
      <c r="E19" s="2" t="s">
        <v>40</v>
      </c>
      <c r="F19" s="2" t="s">
        <v>36</v>
      </c>
      <c r="G19" s="2" t="s">
        <v>37</v>
      </c>
      <c r="H19" s="3" t="s">
        <v>24</v>
      </c>
      <c r="I19" s="6">
        <v>39</v>
      </c>
      <c r="J19" s="6">
        <v>39</v>
      </c>
      <c r="K19" s="7">
        <v>0.995</v>
      </c>
      <c r="L19" s="7">
        <v>0.96327677013262203</v>
      </c>
      <c r="M19" s="7">
        <v>0.995</v>
      </c>
      <c r="N19" s="8">
        <v>17410</v>
      </c>
      <c r="O19" s="7">
        <f t="shared" si="1"/>
        <v>0.99224151551989337</v>
      </c>
    </row>
    <row r="20" spans="1:15">
      <c r="A20" s="3" t="s">
        <v>54</v>
      </c>
      <c r="B20" s="4">
        <v>45316</v>
      </c>
      <c r="C20" s="5">
        <f t="shared" si="0"/>
        <v>45292</v>
      </c>
      <c r="D20" s="3" t="s">
        <v>22</v>
      </c>
      <c r="E20" s="2" t="s">
        <v>23</v>
      </c>
      <c r="F20" s="2" t="s">
        <v>18</v>
      </c>
      <c r="G20" s="2" t="s">
        <v>19</v>
      </c>
      <c r="H20" s="3" t="s">
        <v>24</v>
      </c>
      <c r="I20" s="6">
        <v>52</v>
      </c>
      <c r="J20" s="6">
        <v>47</v>
      </c>
      <c r="K20" s="7">
        <v>0.98988387211219098</v>
      </c>
      <c r="L20" s="7">
        <v>0.91923090725688295</v>
      </c>
      <c r="M20" s="7">
        <v>0.89524631487620643</v>
      </c>
      <c r="N20" s="8">
        <v>25840</v>
      </c>
      <c r="O20" s="7">
        <f t="shared" si="1"/>
        <v>0.92594332863028306</v>
      </c>
    </row>
    <row r="21" spans="1:15">
      <c r="A21" s="3" t="s">
        <v>55</v>
      </c>
      <c r="B21" s="4">
        <v>45317</v>
      </c>
      <c r="C21" s="5">
        <f t="shared" si="0"/>
        <v>45292</v>
      </c>
      <c r="D21" s="3" t="s">
        <v>16</v>
      </c>
      <c r="E21" s="2" t="s">
        <v>17</v>
      </c>
      <c r="F21" s="2" t="s">
        <v>18</v>
      </c>
      <c r="G21" s="2" t="s">
        <v>19</v>
      </c>
      <c r="H21" s="3" t="s">
        <v>20</v>
      </c>
      <c r="I21" s="6">
        <v>43</v>
      </c>
      <c r="J21" s="6">
        <v>48</v>
      </c>
      <c r="K21" s="7">
        <v>0.95596189866878667</v>
      </c>
      <c r="L21" s="7">
        <v>0.97868408907120041</v>
      </c>
      <c r="M21" s="7">
        <v>0.92680578526963886</v>
      </c>
      <c r="N21" s="8">
        <v>30930</v>
      </c>
      <c r="O21" s="7">
        <f t="shared" si="1"/>
        <v>1.0176658729887813</v>
      </c>
    </row>
    <row r="22" spans="1:15">
      <c r="A22" s="3" t="s">
        <v>56</v>
      </c>
      <c r="B22" s="4">
        <v>45317</v>
      </c>
      <c r="C22" s="5">
        <f t="shared" si="0"/>
        <v>45292</v>
      </c>
      <c r="D22" s="3" t="s">
        <v>26</v>
      </c>
      <c r="E22" s="2" t="s">
        <v>27</v>
      </c>
      <c r="F22" s="2" t="s">
        <v>28</v>
      </c>
      <c r="G22" s="2" t="s">
        <v>29</v>
      </c>
      <c r="H22" s="3" t="s">
        <v>20</v>
      </c>
      <c r="I22" s="6">
        <v>45</v>
      </c>
      <c r="J22" s="6">
        <v>43</v>
      </c>
      <c r="K22" s="7">
        <v>0.93449276888616328</v>
      </c>
      <c r="L22" s="7">
        <v>0.93779997701790152</v>
      </c>
      <c r="M22" s="7">
        <v>0.88469064437664635</v>
      </c>
      <c r="N22" s="8">
        <v>17640</v>
      </c>
      <c r="O22" s="7">
        <f t="shared" si="1"/>
        <v>0.93345353987177759</v>
      </c>
    </row>
    <row r="23" spans="1:15">
      <c r="A23" s="3" t="s">
        <v>57</v>
      </c>
      <c r="B23" s="4">
        <v>45317</v>
      </c>
      <c r="C23" s="5">
        <f t="shared" si="0"/>
        <v>45292</v>
      </c>
      <c r="D23" s="3" t="s">
        <v>34</v>
      </c>
      <c r="E23" s="2" t="s">
        <v>35</v>
      </c>
      <c r="F23" s="2" t="s">
        <v>36</v>
      </c>
      <c r="G23" s="2" t="s">
        <v>37</v>
      </c>
      <c r="H23" s="3" t="s">
        <v>20</v>
      </c>
      <c r="I23" s="6">
        <v>30</v>
      </c>
      <c r="J23" s="6">
        <v>29</v>
      </c>
      <c r="K23" s="7">
        <v>0.96724681598843731</v>
      </c>
      <c r="L23" s="7">
        <v>0.97532110106749015</v>
      </c>
      <c r="M23" s="7">
        <v>0.91240292873913653</v>
      </c>
      <c r="N23" s="8">
        <v>11740</v>
      </c>
      <c r="O23" s="7">
        <f t="shared" si="1"/>
        <v>0.95725712157172682</v>
      </c>
    </row>
    <row r="24" spans="1:15">
      <c r="A24" s="3" t="s">
        <v>58</v>
      </c>
      <c r="B24" s="4">
        <v>45317</v>
      </c>
      <c r="C24" s="5">
        <f t="shared" si="0"/>
        <v>45292</v>
      </c>
      <c r="D24" s="3" t="s">
        <v>39</v>
      </c>
      <c r="E24" s="2" t="s">
        <v>40</v>
      </c>
      <c r="F24" s="2" t="s">
        <v>36</v>
      </c>
      <c r="G24" s="2" t="s">
        <v>37</v>
      </c>
      <c r="H24" s="3" t="s">
        <v>24</v>
      </c>
      <c r="I24" s="6">
        <v>33</v>
      </c>
      <c r="J24" s="6">
        <v>30</v>
      </c>
      <c r="K24" s="7">
        <v>0.97541103097790205</v>
      </c>
      <c r="L24" s="7">
        <v>1</v>
      </c>
      <c r="M24" s="7">
        <v>0.93597134374261515</v>
      </c>
      <c r="N24" s="8">
        <v>12970</v>
      </c>
      <c r="O24" s="7">
        <f t="shared" si="1"/>
        <v>0.9446833901293622</v>
      </c>
    </row>
    <row r="25" spans="1:15">
      <c r="A25" s="3" t="s">
        <v>59</v>
      </c>
      <c r="B25" s="4">
        <v>45321</v>
      </c>
      <c r="C25" s="5">
        <f t="shared" si="0"/>
        <v>45292</v>
      </c>
      <c r="D25" s="3" t="s">
        <v>16</v>
      </c>
      <c r="E25" s="2" t="s">
        <v>17</v>
      </c>
      <c r="F25" s="2" t="s">
        <v>18</v>
      </c>
      <c r="G25" s="2" t="s">
        <v>19</v>
      </c>
      <c r="H25" s="3" t="s">
        <v>20</v>
      </c>
      <c r="I25" s="6">
        <v>30</v>
      </c>
      <c r="J25" s="6">
        <v>35</v>
      </c>
      <c r="K25" s="7">
        <v>0.95023851215584088</v>
      </c>
      <c r="L25" s="7">
        <v>0.94685818491313567</v>
      </c>
      <c r="M25" s="7">
        <v>0.9118235778158903</v>
      </c>
      <c r="N25" s="8">
        <v>21610</v>
      </c>
      <c r="O25" s="7">
        <f t="shared" si="1"/>
        <v>1.0286197380057753</v>
      </c>
    </row>
    <row r="26" spans="1:15">
      <c r="A26" s="3" t="s">
        <v>60</v>
      </c>
      <c r="B26" s="4">
        <v>45321</v>
      </c>
      <c r="C26" s="5">
        <f t="shared" si="0"/>
        <v>45292</v>
      </c>
      <c r="D26" s="3" t="s">
        <v>34</v>
      </c>
      <c r="E26" s="2" t="s">
        <v>35</v>
      </c>
      <c r="F26" s="2" t="s">
        <v>36</v>
      </c>
      <c r="G26" s="2" t="s">
        <v>37</v>
      </c>
      <c r="H26" s="3" t="s">
        <v>20</v>
      </c>
      <c r="I26" s="6">
        <v>55</v>
      </c>
      <c r="J26" s="6">
        <v>50</v>
      </c>
      <c r="K26" s="7">
        <v>0.88639722408318566</v>
      </c>
      <c r="L26" s="7">
        <v>0.96939295249350976</v>
      </c>
      <c r="M26" s="7">
        <v>0.93762708034004305</v>
      </c>
      <c r="N26" s="8">
        <v>25550</v>
      </c>
      <c r="O26" s="7">
        <f t="shared" si="1"/>
        <v>0.91817002859919516</v>
      </c>
    </row>
    <row r="27" spans="1:15">
      <c r="A27" s="3" t="s">
        <v>61</v>
      </c>
      <c r="B27" s="4">
        <v>45322</v>
      </c>
      <c r="C27" s="5">
        <f t="shared" si="0"/>
        <v>45292</v>
      </c>
      <c r="D27" s="3" t="s">
        <v>26</v>
      </c>
      <c r="E27" s="2" t="s">
        <v>27</v>
      </c>
      <c r="F27" s="2" t="s">
        <v>28</v>
      </c>
      <c r="G27" s="2" t="s">
        <v>29</v>
      </c>
      <c r="H27" s="3" t="s">
        <v>20</v>
      </c>
      <c r="I27" s="6">
        <v>45</v>
      </c>
      <c r="J27" s="6">
        <v>44</v>
      </c>
      <c r="K27" s="7">
        <v>0.89453583889661537</v>
      </c>
      <c r="L27" s="7">
        <v>0.94019524389493803</v>
      </c>
      <c r="M27" s="7">
        <v>0.91260982086489251</v>
      </c>
      <c r="N27" s="8">
        <v>15850</v>
      </c>
      <c r="O27" s="7">
        <f t="shared" si="1"/>
        <v>0.93829632159248422</v>
      </c>
    </row>
    <row r="28" spans="1:15">
      <c r="A28" s="3" t="s">
        <v>62</v>
      </c>
      <c r="B28" s="4">
        <v>45324</v>
      </c>
      <c r="C28" s="5">
        <f t="shared" si="0"/>
        <v>45323</v>
      </c>
      <c r="D28" s="3" t="s">
        <v>16</v>
      </c>
      <c r="E28" s="2" t="s">
        <v>17</v>
      </c>
      <c r="F28" s="2" t="s">
        <v>18</v>
      </c>
      <c r="G28" s="2" t="s">
        <v>19</v>
      </c>
      <c r="H28" s="3" t="s">
        <v>20</v>
      </c>
      <c r="I28" s="6">
        <v>53</v>
      </c>
      <c r="J28" s="6">
        <v>53</v>
      </c>
      <c r="K28" s="7">
        <v>0.92254060530583737</v>
      </c>
      <c r="L28" s="7">
        <v>0.97126055037531978</v>
      </c>
      <c r="M28" s="7">
        <v>0.94634580131392965</v>
      </c>
      <c r="N28" s="8">
        <v>26690</v>
      </c>
      <c r="O28" s="7">
        <f t="shared" si="1"/>
        <v>0.96559339414554335</v>
      </c>
    </row>
    <row r="29" spans="1:15">
      <c r="A29" s="3" t="s">
        <v>63</v>
      </c>
      <c r="B29" s="4">
        <v>45324</v>
      </c>
      <c r="C29" s="5">
        <f t="shared" si="0"/>
        <v>45323</v>
      </c>
      <c r="D29" s="3" t="s">
        <v>16</v>
      </c>
      <c r="E29" s="2" t="s">
        <v>17</v>
      </c>
      <c r="F29" s="2" t="s">
        <v>18</v>
      </c>
      <c r="G29" s="2" t="s">
        <v>19</v>
      </c>
      <c r="H29" s="3" t="s">
        <v>20</v>
      </c>
      <c r="I29" s="6">
        <v>34</v>
      </c>
      <c r="J29" s="6">
        <v>32</v>
      </c>
      <c r="K29" s="7">
        <v>0.95062117141716196</v>
      </c>
      <c r="L29" s="7">
        <v>0.91938656882714842</v>
      </c>
      <c r="M29" s="7">
        <v>0.91985649063018948</v>
      </c>
      <c r="N29" s="8">
        <v>18310</v>
      </c>
      <c r="O29" s="7">
        <f t="shared" si="1"/>
        <v>0.93600516453969473</v>
      </c>
    </row>
    <row r="30" spans="1:15">
      <c r="A30" s="3" t="s">
        <v>64</v>
      </c>
      <c r="B30" s="4">
        <v>45324</v>
      </c>
      <c r="C30" s="5">
        <f t="shared" si="0"/>
        <v>45323</v>
      </c>
      <c r="D30" s="3" t="s">
        <v>26</v>
      </c>
      <c r="E30" s="2" t="s">
        <v>27</v>
      </c>
      <c r="F30" s="2" t="s">
        <v>28</v>
      </c>
      <c r="G30" s="2" t="s">
        <v>29</v>
      </c>
      <c r="H30" s="3" t="s">
        <v>20</v>
      </c>
      <c r="I30" s="6">
        <v>47</v>
      </c>
      <c r="J30" s="6">
        <v>47</v>
      </c>
      <c r="K30" s="7">
        <v>0.92261959276644145</v>
      </c>
      <c r="L30" s="7">
        <v>0.93656460534928798</v>
      </c>
      <c r="M30" s="7">
        <v>0.91120190354916475</v>
      </c>
      <c r="N30" s="8">
        <v>16690</v>
      </c>
      <c r="O30" s="7">
        <f t="shared" si="1"/>
        <v>0.95337996970383654</v>
      </c>
    </row>
    <row r="31" spans="1:15">
      <c r="A31" s="3" t="s">
        <v>65</v>
      </c>
      <c r="B31" s="4">
        <v>45328</v>
      </c>
      <c r="C31" s="5">
        <f t="shared" si="0"/>
        <v>45323</v>
      </c>
      <c r="D31" s="3" t="s">
        <v>22</v>
      </c>
      <c r="E31" s="2" t="s">
        <v>23</v>
      </c>
      <c r="F31" s="2" t="s">
        <v>18</v>
      </c>
      <c r="G31" s="2" t="s">
        <v>19</v>
      </c>
      <c r="H31" s="3" t="s">
        <v>24</v>
      </c>
      <c r="I31" s="6">
        <v>45</v>
      </c>
      <c r="J31" s="6">
        <v>39</v>
      </c>
      <c r="K31" s="7">
        <v>0.90599155813625354</v>
      </c>
      <c r="L31" s="7">
        <v>0.97200393740805158</v>
      </c>
      <c r="M31" s="7">
        <v>0.8829974627517998</v>
      </c>
      <c r="N31" s="8">
        <v>22350</v>
      </c>
      <c r="O31" s="7">
        <f t="shared" si="1"/>
        <v>0.8955646393622978</v>
      </c>
    </row>
    <row r="32" spans="1:15">
      <c r="A32" s="3" t="s">
        <v>66</v>
      </c>
      <c r="B32" s="4">
        <v>45328</v>
      </c>
      <c r="C32" s="5">
        <f t="shared" si="0"/>
        <v>45323</v>
      </c>
      <c r="D32" s="3" t="s">
        <v>22</v>
      </c>
      <c r="E32" s="2" t="s">
        <v>23</v>
      </c>
      <c r="F32" s="2" t="s">
        <v>18</v>
      </c>
      <c r="G32" s="2" t="s">
        <v>19</v>
      </c>
      <c r="H32" s="3" t="s">
        <v>24</v>
      </c>
      <c r="I32" s="6">
        <v>34</v>
      </c>
      <c r="J32" s="6">
        <v>41</v>
      </c>
      <c r="K32" s="7">
        <v>0.93348888494072813</v>
      </c>
      <c r="L32" s="7">
        <v>0.9612910783130556</v>
      </c>
      <c r="M32" s="7">
        <v>0.97672060487408385</v>
      </c>
      <c r="N32" s="8">
        <v>24510</v>
      </c>
      <c r="O32" s="7">
        <f t="shared" si="1"/>
        <v>1.0529100039569572</v>
      </c>
    </row>
    <row r="33" spans="1:15">
      <c r="A33" s="3" t="s">
        <v>67</v>
      </c>
      <c r="B33" s="4">
        <v>45328</v>
      </c>
      <c r="C33" s="5">
        <f t="shared" si="0"/>
        <v>45323</v>
      </c>
      <c r="D33" s="3" t="s">
        <v>39</v>
      </c>
      <c r="E33" s="2" t="s">
        <v>40</v>
      </c>
      <c r="F33" s="2" t="s">
        <v>36</v>
      </c>
      <c r="G33" s="2" t="s">
        <v>37</v>
      </c>
      <c r="H33" s="3" t="s">
        <v>24</v>
      </c>
      <c r="I33" s="6">
        <v>50</v>
      </c>
      <c r="J33" s="6">
        <v>60</v>
      </c>
      <c r="K33" s="7">
        <v>0.9408065177869116</v>
      </c>
      <c r="L33" s="7">
        <v>0.97665724196274206</v>
      </c>
      <c r="M33" s="7">
        <v>0.93558806408594886</v>
      </c>
      <c r="N33" s="8">
        <v>25610</v>
      </c>
      <c r="O33" s="7">
        <f t="shared" si="1"/>
        <v>1.0488178285583289</v>
      </c>
    </row>
    <row r="34" spans="1:15">
      <c r="A34" s="3" t="s">
        <v>68</v>
      </c>
      <c r="B34" s="4">
        <v>45330</v>
      </c>
      <c r="C34" s="5">
        <f t="shared" si="0"/>
        <v>45323</v>
      </c>
      <c r="D34" s="3" t="s">
        <v>16</v>
      </c>
      <c r="E34" s="2" t="s">
        <v>17</v>
      </c>
      <c r="F34" s="2" t="s">
        <v>18</v>
      </c>
      <c r="G34" s="2" t="s">
        <v>19</v>
      </c>
      <c r="H34" s="3" t="s">
        <v>20</v>
      </c>
      <c r="I34" s="6">
        <v>49</v>
      </c>
      <c r="J34" s="6">
        <v>51</v>
      </c>
      <c r="K34" s="7">
        <v>0.94929962681037483</v>
      </c>
      <c r="L34" s="7">
        <v>0.96137572286143347</v>
      </c>
      <c r="M34" s="7">
        <v>0.95359060088949943</v>
      </c>
      <c r="N34" s="8">
        <v>25510</v>
      </c>
      <c r="O34" s="7">
        <f t="shared" si="1"/>
        <v>0.9885759159219536</v>
      </c>
    </row>
    <row r="35" spans="1:15">
      <c r="A35" s="3" t="s">
        <v>69</v>
      </c>
      <c r="B35" s="4">
        <v>45331</v>
      </c>
      <c r="C35" s="5">
        <f t="shared" si="0"/>
        <v>45323</v>
      </c>
      <c r="D35" s="3" t="s">
        <v>16</v>
      </c>
      <c r="E35" s="2" t="s">
        <v>17</v>
      </c>
      <c r="F35" s="2" t="s">
        <v>18</v>
      </c>
      <c r="G35" s="2" t="s">
        <v>19</v>
      </c>
      <c r="H35" s="3" t="s">
        <v>20</v>
      </c>
      <c r="I35" s="6">
        <v>48</v>
      </c>
      <c r="J35" s="6">
        <v>49</v>
      </c>
      <c r="K35" s="7">
        <v>0.97504818766539381</v>
      </c>
      <c r="L35" s="7">
        <v>0.93643922179407169</v>
      </c>
      <c r="M35" s="7">
        <v>0.92319875551849606</v>
      </c>
      <c r="N35" s="8">
        <v>30850</v>
      </c>
      <c r="O35" s="7">
        <f t="shared" si="1"/>
        <v>0.97720101462249187</v>
      </c>
    </row>
    <row r="36" spans="1:15">
      <c r="A36" s="3" t="s">
        <v>70</v>
      </c>
      <c r="B36" s="4">
        <v>45331</v>
      </c>
      <c r="C36" s="5">
        <f t="shared" si="0"/>
        <v>45323</v>
      </c>
      <c r="D36" s="3" t="s">
        <v>22</v>
      </c>
      <c r="E36" s="2" t="s">
        <v>23</v>
      </c>
      <c r="F36" s="2" t="s">
        <v>18</v>
      </c>
      <c r="G36" s="2" t="s">
        <v>19</v>
      </c>
      <c r="H36" s="3" t="s">
        <v>24</v>
      </c>
      <c r="I36" s="6">
        <v>29</v>
      </c>
      <c r="J36" s="6">
        <v>31</v>
      </c>
      <c r="K36" s="7">
        <v>0.91221920361562459</v>
      </c>
      <c r="L36" s="7">
        <v>0.95353997873149021</v>
      </c>
      <c r="M36" s="7">
        <v>0.99152351477695333</v>
      </c>
      <c r="N36" s="8">
        <v>18370</v>
      </c>
      <c r="O36" s="7">
        <f t="shared" si="1"/>
        <v>0.99697670756557211</v>
      </c>
    </row>
    <row r="37" spans="1:15">
      <c r="A37" s="3" t="s">
        <v>71</v>
      </c>
      <c r="B37" s="4">
        <v>45331</v>
      </c>
      <c r="C37" s="5">
        <f t="shared" si="0"/>
        <v>45323</v>
      </c>
      <c r="D37" s="3" t="s">
        <v>22</v>
      </c>
      <c r="E37" s="2" t="s">
        <v>23</v>
      </c>
      <c r="F37" s="2" t="s">
        <v>18</v>
      </c>
      <c r="G37" s="2" t="s">
        <v>19</v>
      </c>
      <c r="H37" s="3" t="s">
        <v>24</v>
      </c>
      <c r="I37" s="6">
        <v>45</v>
      </c>
      <c r="J37" s="6">
        <v>41</v>
      </c>
      <c r="K37" s="7">
        <v>0.9478594654490935</v>
      </c>
      <c r="L37" s="7">
        <v>0.97135907303014246</v>
      </c>
      <c r="M37" s="7">
        <v>0.94591984249583572</v>
      </c>
      <c r="N37" s="8">
        <v>22410</v>
      </c>
      <c r="O37" s="7">
        <f t="shared" si="1"/>
        <v>0.93629714026040634</v>
      </c>
    </row>
    <row r="38" spans="1:15">
      <c r="A38" s="3" t="s">
        <v>72</v>
      </c>
      <c r="B38" s="4">
        <v>45331</v>
      </c>
      <c r="C38" s="5">
        <f t="shared" si="0"/>
        <v>45323</v>
      </c>
      <c r="D38" s="3" t="s">
        <v>22</v>
      </c>
      <c r="E38" s="2" t="s">
        <v>23</v>
      </c>
      <c r="F38" s="2" t="s">
        <v>18</v>
      </c>
      <c r="G38" s="2" t="s">
        <v>19</v>
      </c>
      <c r="H38" s="3" t="s">
        <v>24</v>
      </c>
      <c r="I38" s="6">
        <v>32</v>
      </c>
      <c r="J38" s="6">
        <v>31</v>
      </c>
      <c r="K38" s="7">
        <v>0.90898954485654826</v>
      </c>
      <c r="L38" s="7">
        <v>0.9846533593964738</v>
      </c>
      <c r="M38" s="7">
        <v>0.95580838721067674</v>
      </c>
      <c r="N38" s="8">
        <v>15870</v>
      </c>
      <c r="O38" s="7">
        <f t="shared" si="1"/>
        <v>0.95360706756574354</v>
      </c>
    </row>
    <row r="39" spans="1:15">
      <c r="A39" s="3" t="s">
        <v>73</v>
      </c>
      <c r="B39" s="4">
        <v>45331</v>
      </c>
      <c r="C39" s="5">
        <f t="shared" si="0"/>
        <v>45323</v>
      </c>
      <c r="D39" s="3" t="s">
        <v>26</v>
      </c>
      <c r="E39" s="2" t="s">
        <v>27</v>
      </c>
      <c r="F39" s="2" t="s">
        <v>28</v>
      </c>
      <c r="G39" s="2" t="s">
        <v>29</v>
      </c>
      <c r="H39" s="3" t="s">
        <v>20</v>
      </c>
      <c r="I39" s="6">
        <v>52</v>
      </c>
      <c r="J39" s="6">
        <v>52</v>
      </c>
      <c r="K39" s="7">
        <v>0.90385107308348656</v>
      </c>
      <c r="L39" s="7">
        <v>0.96333863457212043</v>
      </c>
      <c r="M39" s="7">
        <v>0.8581322560620962</v>
      </c>
      <c r="N39" s="8">
        <v>19310</v>
      </c>
      <c r="O39" s="7">
        <f t="shared" si="1"/>
        <v>0.94209001466910902</v>
      </c>
    </row>
    <row r="40" spans="1:15">
      <c r="A40" s="3" t="s">
        <v>74</v>
      </c>
      <c r="B40" s="4">
        <v>45331</v>
      </c>
      <c r="C40" s="5">
        <f t="shared" si="0"/>
        <v>45323</v>
      </c>
      <c r="D40" s="3" t="s">
        <v>43</v>
      </c>
      <c r="E40" s="2" t="s">
        <v>44</v>
      </c>
      <c r="F40" s="2" t="s">
        <v>28</v>
      </c>
      <c r="G40" s="2" t="s">
        <v>29</v>
      </c>
      <c r="H40" s="3" t="s">
        <v>45</v>
      </c>
      <c r="I40" s="6">
        <v>39</v>
      </c>
      <c r="J40" s="6">
        <v>41</v>
      </c>
      <c r="K40" s="7">
        <v>0.96855008044003676</v>
      </c>
      <c r="L40" s="7">
        <v>1</v>
      </c>
      <c r="M40" s="7">
        <v>0.94828500072972322</v>
      </c>
      <c r="N40" s="8">
        <v>19110</v>
      </c>
      <c r="O40" s="7">
        <f t="shared" si="1"/>
        <v>1.0023073407687746</v>
      </c>
    </row>
    <row r="41" spans="1:15">
      <c r="A41" s="3" t="s">
        <v>75</v>
      </c>
      <c r="B41" s="4">
        <v>45334</v>
      </c>
      <c r="C41" s="5">
        <f t="shared" si="0"/>
        <v>45323</v>
      </c>
      <c r="D41" s="3" t="s">
        <v>34</v>
      </c>
      <c r="E41" s="2" t="s">
        <v>35</v>
      </c>
      <c r="F41" s="2" t="s">
        <v>36</v>
      </c>
      <c r="G41" s="2" t="s">
        <v>37</v>
      </c>
      <c r="H41" s="3" t="s">
        <v>20</v>
      </c>
      <c r="I41" s="6">
        <v>31</v>
      </c>
      <c r="J41" s="6">
        <v>33</v>
      </c>
      <c r="K41" s="7">
        <v>0.91261323526830229</v>
      </c>
      <c r="L41" s="7">
        <v>0.9784178911696122</v>
      </c>
      <c r="M41" s="7">
        <v>0.93219599242068263</v>
      </c>
      <c r="N41" s="8">
        <v>16910</v>
      </c>
      <c r="O41" s="7">
        <f t="shared" si="1"/>
        <v>0.98716164258955708</v>
      </c>
    </row>
    <row r="42" spans="1:15">
      <c r="A42" s="3" t="s">
        <v>76</v>
      </c>
      <c r="B42" s="4">
        <v>45335</v>
      </c>
      <c r="C42" s="5">
        <f t="shared" si="0"/>
        <v>45323</v>
      </c>
      <c r="D42" s="3" t="s">
        <v>39</v>
      </c>
      <c r="E42" s="2" t="s">
        <v>40</v>
      </c>
      <c r="F42" s="2" t="s">
        <v>36</v>
      </c>
      <c r="G42" s="2" t="s">
        <v>37</v>
      </c>
      <c r="H42" s="3" t="s">
        <v>24</v>
      </c>
      <c r="I42" s="6">
        <v>34</v>
      </c>
      <c r="J42" s="6">
        <v>41</v>
      </c>
      <c r="K42" s="7">
        <v>0.98803503201942822</v>
      </c>
      <c r="L42" s="7">
        <v>0.97373057757254677</v>
      </c>
      <c r="M42" s="7">
        <v>0.96920163287765437</v>
      </c>
      <c r="N42" s="8">
        <v>17900</v>
      </c>
      <c r="O42" s="7">
        <f t="shared" si="1"/>
        <v>1.0669086712162699</v>
      </c>
    </row>
    <row r="43" spans="1:15">
      <c r="A43" s="3" t="s">
        <v>77</v>
      </c>
      <c r="B43" s="4">
        <v>45336</v>
      </c>
      <c r="C43" s="5">
        <f t="shared" si="0"/>
        <v>45323</v>
      </c>
      <c r="D43" s="3" t="s">
        <v>39</v>
      </c>
      <c r="E43" s="2" t="s">
        <v>40</v>
      </c>
      <c r="F43" s="2" t="s">
        <v>36</v>
      </c>
      <c r="G43" s="2" t="s">
        <v>37</v>
      </c>
      <c r="H43" s="3" t="s">
        <v>24</v>
      </c>
      <c r="I43" s="6">
        <v>51</v>
      </c>
      <c r="J43" s="6">
        <v>54</v>
      </c>
      <c r="K43" s="7">
        <v>0.96348183476190608</v>
      </c>
      <c r="L43" s="7">
        <v>0.98644084354266615</v>
      </c>
      <c r="M43" s="7">
        <v>0.96486870855194884</v>
      </c>
      <c r="N43" s="8">
        <v>24720</v>
      </c>
      <c r="O43" s="7">
        <f t="shared" si="1"/>
        <v>1.0053397386969722</v>
      </c>
    </row>
    <row r="44" spans="1:15">
      <c r="A44" s="3" t="s">
        <v>78</v>
      </c>
      <c r="B44" s="4">
        <v>45338</v>
      </c>
      <c r="C44" s="5">
        <f t="shared" si="0"/>
        <v>45323</v>
      </c>
      <c r="D44" s="3" t="s">
        <v>16</v>
      </c>
      <c r="E44" s="2" t="s">
        <v>17</v>
      </c>
      <c r="F44" s="2" t="s">
        <v>18</v>
      </c>
      <c r="G44" s="2" t="s">
        <v>19</v>
      </c>
      <c r="H44" s="3" t="s">
        <v>20</v>
      </c>
      <c r="I44" s="6">
        <v>55</v>
      </c>
      <c r="J44" s="6">
        <v>57</v>
      </c>
      <c r="K44" s="7">
        <v>0.92366594154124249</v>
      </c>
      <c r="L44" s="7">
        <v>0.97588587861514342</v>
      </c>
      <c r="M44" s="7">
        <v>0.90244076243026272</v>
      </c>
      <c r="N44" s="8">
        <v>31880</v>
      </c>
      <c r="O44" s="7">
        <f t="shared" si="1"/>
        <v>0.97233297420908926</v>
      </c>
    </row>
    <row r="45" spans="1:15">
      <c r="A45" s="3" t="s">
        <v>79</v>
      </c>
      <c r="B45" s="4">
        <v>45338</v>
      </c>
      <c r="C45" s="5">
        <f t="shared" si="0"/>
        <v>45323</v>
      </c>
      <c r="D45" s="3" t="s">
        <v>22</v>
      </c>
      <c r="E45" s="2" t="s">
        <v>23</v>
      </c>
      <c r="F45" s="2" t="s">
        <v>18</v>
      </c>
      <c r="G45" s="2" t="s">
        <v>19</v>
      </c>
      <c r="H45" s="3" t="s">
        <v>24</v>
      </c>
      <c r="I45" s="6">
        <v>40</v>
      </c>
      <c r="J45" s="6">
        <v>41</v>
      </c>
      <c r="K45" s="7">
        <v>0.92893441591142645</v>
      </c>
      <c r="L45" s="7">
        <v>0.96296843826006429</v>
      </c>
      <c r="M45" s="7">
        <v>0.97019845010483552</v>
      </c>
      <c r="N45" s="8">
        <v>24780</v>
      </c>
      <c r="O45" s="7">
        <f t="shared" si="1"/>
        <v>0.98071855973783328</v>
      </c>
    </row>
    <row r="46" spans="1:15">
      <c r="A46" s="3" t="s">
        <v>80</v>
      </c>
      <c r="B46" s="4">
        <v>45338</v>
      </c>
      <c r="C46" s="5">
        <f t="shared" si="0"/>
        <v>45323</v>
      </c>
      <c r="D46" s="3" t="s">
        <v>22</v>
      </c>
      <c r="E46" s="2" t="s">
        <v>23</v>
      </c>
      <c r="F46" s="2" t="s">
        <v>18</v>
      </c>
      <c r="G46" s="2" t="s">
        <v>19</v>
      </c>
      <c r="H46" s="3" t="s">
        <v>24</v>
      </c>
      <c r="I46" s="6">
        <v>38</v>
      </c>
      <c r="J46" s="6">
        <v>35</v>
      </c>
      <c r="K46" s="7">
        <v>0.95692597251679878</v>
      </c>
      <c r="L46" s="7">
        <v>0.9660370822108354</v>
      </c>
      <c r="M46" s="7">
        <v>0.98755089236303073</v>
      </c>
      <c r="N46" s="8">
        <v>20450</v>
      </c>
      <c r="O46" s="7">
        <f t="shared" si="1"/>
        <v>0.95006828656501008</v>
      </c>
    </row>
    <row r="47" spans="1:15">
      <c r="A47" s="3" t="s">
        <v>81</v>
      </c>
      <c r="B47" s="4">
        <v>45338</v>
      </c>
      <c r="C47" s="5">
        <f t="shared" si="0"/>
        <v>45323</v>
      </c>
      <c r="D47" s="3" t="s">
        <v>26</v>
      </c>
      <c r="E47" s="2" t="s">
        <v>27</v>
      </c>
      <c r="F47" s="2" t="s">
        <v>28</v>
      </c>
      <c r="G47" s="2" t="s">
        <v>29</v>
      </c>
      <c r="H47" s="3" t="s">
        <v>20</v>
      </c>
      <c r="I47" s="6">
        <v>31</v>
      </c>
      <c r="J47" s="6">
        <v>26</v>
      </c>
      <c r="K47" s="7">
        <v>0.86633358624502044</v>
      </c>
      <c r="L47" s="7">
        <v>0.99123173167516887</v>
      </c>
      <c r="M47" s="7">
        <v>0.89634909546688557</v>
      </c>
      <c r="N47" s="8">
        <v>9390</v>
      </c>
      <c r="O47" s="7">
        <f t="shared" si="1"/>
        <v>0.88002184637364944</v>
      </c>
    </row>
    <row r="48" spans="1:15">
      <c r="A48" s="3" t="s">
        <v>82</v>
      </c>
      <c r="B48" s="4">
        <v>45338</v>
      </c>
      <c r="C48" s="5">
        <f t="shared" si="0"/>
        <v>45323</v>
      </c>
      <c r="D48" s="3" t="s">
        <v>39</v>
      </c>
      <c r="E48" s="2" t="s">
        <v>40</v>
      </c>
      <c r="F48" s="2" t="s">
        <v>36</v>
      </c>
      <c r="G48" s="2" t="s">
        <v>37</v>
      </c>
      <c r="H48" s="3" t="s">
        <v>24</v>
      </c>
      <c r="I48" s="6">
        <v>40</v>
      </c>
      <c r="J48" s="6">
        <v>47</v>
      </c>
      <c r="K48" s="7">
        <v>0.97038249008769306</v>
      </c>
      <c r="L48" s="7">
        <v>0.97035102965385422</v>
      </c>
      <c r="M48" s="7">
        <v>0.98694111374641247</v>
      </c>
      <c r="N48" s="8">
        <v>22100</v>
      </c>
      <c r="O48" s="7">
        <f t="shared" si="1"/>
        <v>1.055536499719284</v>
      </c>
    </row>
    <row r="49" spans="1:15">
      <c r="A49" s="3" t="s">
        <v>83</v>
      </c>
      <c r="B49" s="4">
        <v>45338</v>
      </c>
      <c r="C49" s="5">
        <f t="shared" si="0"/>
        <v>45323</v>
      </c>
      <c r="D49" s="3" t="s">
        <v>39</v>
      </c>
      <c r="E49" s="2" t="s">
        <v>40</v>
      </c>
      <c r="F49" s="2" t="s">
        <v>36</v>
      </c>
      <c r="G49" s="2" t="s">
        <v>37</v>
      </c>
      <c r="H49" s="3" t="s">
        <v>24</v>
      </c>
      <c r="I49" s="6">
        <v>32</v>
      </c>
      <c r="J49" s="6">
        <v>33</v>
      </c>
      <c r="K49" s="7">
        <v>0.98222955094593944</v>
      </c>
      <c r="L49" s="7">
        <v>1</v>
      </c>
      <c r="M49" s="7">
        <v>0.995</v>
      </c>
      <c r="N49" s="8">
        <v>16930</v>
      </c>
      <c r="O49" s="7">
        <f t="shared" si="1"/>
        <v>1.007057387736485</v>
      </c>
    </row>
    <row r="50" spans="1:15">
      <c r="A50" s="3" t="s">
        <v>84</v>
      </c>
      <c r="B50" s="4">
        <v>45341</v>
      </c>
      <c r="C50" s="5">
        <f t="shared" si="0"/>
        <v>45323</v>
      </c>
      <c r="D50" s="3" t="s">
        <v>22</v>
      </c>
      <c r="E50" s="2" t="s">
        <v>23</v>
      </c>
      <c r="F50" s="2" t="s">
        <v>18</v>
      </c>
      <c r="G50" s="2" t="s">
        <v>19</v>
      </c>
      <c r="H50" s="3" t="s">
        <v>24</v>
      </c>
      <c r="I50" s="6">
        <v>47</v>
      </c>
      <c r="J50" s="6">
        <v>52</v>
      </c>
      <c r="K50" s="7">
        <v>0.9190212877277909</v>
      </c>
      <c r="L50" s="7">
        <v>0.95795290170569847</v>
      </c>
      <c r="M50" s="7">
        <v>0.94556801015550185</v>
      </c>
      <c r="N50" s="8">
        <v>30250</v>
      </c>
      <c r="O50" s="7">
        <f t="shared" si="1"/>
        <v>1.0051150507082647</v>
      </c>
    </row>
    <row r="51" spans="1:15">
      <c r="A51" s="3" t="s">
        <v>85</v>
      </c>
      <c r="B51" s="4">
        <v>45341</v>
      </c>
      <c r="C51" s="5">
        <f t="shared" si="0"/>
        <v>45323</v>
      </c>
      <c r="D51" s="3" t="s">
        <v>43</v>
      </c>
      <c r="E51" s="2" t="s">
        <v>44</v>
      </c>
      <c r="F51" s="2" t="s">
        <v>28</v>
      </c>
      <c r="G51" s="2" t="s">
        <v>29</v>
      </c>
      <c r="H51" s="3" t="s">
        <v>45</v>
      </c>
      <c r="I51" s="6">
        <v>29</v>
      </c>
      <c r="J51" s="6">
        <v>30</v>
      </c>
      <c r="K51" s="7">
        <v>0.98332812814016768</v>
      </c>
      <c r="L51" s="7">
        <v>0.99481573602897932</v>
      </c>
      <c r="M51" s="7">
        <v>0.88632922981669193</v>
      </c>
      <c r="N51" s="8">
        <v>11980</v>
      </c>
      <c r="O51" s="7">
        <f t="shared" si="1"/>
        <v>0.98611334185100308</v>
      </c>
    </row>
    <row r="52" spans="1:15">
      <c r="A52" s="3" t="s">
        <v>86</v>
      </c>
      <c r="B52" s="4">
        <v>45343</v>
      </c>
      <c r="C52" s="5">
        <f t="shared" si="0"/>
        <v>45323</v>
      </c>
      <c r="D52" s="3" t="s">
        <v>39</v>
      </c>
      <c r="E52" s="2" t="s">
        <v>40</v>
      </c>
      <c r="F52" s="2" t="s">
        <v>36</v>
      </c>
      <c r="G52" s="2" t="s">
        <v>37</v>
      </c>
      <c r="H52" s="3" t="s">
        <v>24</v>
      </c>
      <c r="I52" s="6">
        <v>33</v>
      </c>
      <c r="J52" s="6">
        <v>38</v>
      </c>
      <c r="K52" s="7">
        <v>0.9480393148759847</v>
      </c>
      <c r="L52" s="7">
        <v>0.97662871561619202</v>
      </c>
      <c r="M52" s="7">
        <v>0.93879448495708884</v>
      </c>
      <c r="N52" s="8">
        <v>17800</v>
      </c>
      <c r="O52" s="7">
        <f t="shared" si="1"/>
        <v>1.0318690936589032</v>
      </c>
    </row>
    <row r="53" spans="1:15">
      <c r="A53" s="3" t="s">
        <v>87</v>
      </c>
      <c r="B53" s="4">
        <v>45343</v>
      </c>
      <c r="C53" s="5">
        <f t="shared" si="0"/>
        <v>45323</v>
      </c>
      <c r="D53" s="3" t="s">
        <v>39</v>
      </c>
      <c r="E53" s="2" t="s">
        <v>40</v>
      </c>
      <c r="F53" s="2" t="s">
        <v>36</v>
      </c>
      <c r="G53" s="2" t="s">
        <v>37</v>
      </c>
      <c r="H53" s="3" t="s">
        <v>24</v>
      </c>
      <c r="I53" s="6">
        <v>39</v>
      </c>
      <c r="J53" s="6">
        <v>42</v>
      </c>
      <c r="K53" s="7">
        <v>0.94106386115913188</v>
      </c>
      <c r="L53" s="7">
        <v>0.9895138934704335</v>
      </c>
      <c r="M53" s="7">
        <v>0.94132985214700315</v>
      </c>
      <c r="N53" s="8">
        <v>21030</v>
      </c>
      <c r="O53" s="7">
        <f t="shared" si="1"/>
        <v>1.0027282505089794</v>
      </c>
    </row>
    <row r="54" spans="1:15">
      <c r="A54" s="3" t="s">
        <v>88</v>
      </c>
      <c r="B54" s="4">
        <v>45345</v>
      </c>
      <c r="C54" s="5">
        <f t="shared" si="0"/>
        <v>45323</v>
      </c>
      <c r="D54" s="3" t="s">
        <v>16</v>
      </c>
      <c r="E54" s="2" t="s">
        <v>17</v>
      </c>
      <c r="F54" s="2" t="s">
        <v>18</v>
      </c>
      <c r="G54" s="2" t="s">
        <v>19</v>
      </c>
      <c r="H54" s="3" t="s">
        <v>20</v>
      </c>
      <c r="I54" s="6">
        <v>37</v>
      </c>
      <c r="J54" s="6">
        <v>37</v>
      </c>
      <c r="K54" s="7">
        <v>0.9369260500745572</v>
      </c>
      <c r="L54" s="7">
        <v>0.9552994797682639</v>
      </c>
      <c r="M54" s="7">
        <v>0.92047210029616244</v>
      </c>
      <c r="N54" s="8">
        <v>22410</v>
      </c>
      <c r="O54" s="7">
        <f t="shared" si="1"/>
        <v>0.9616208545431113</v>
      </c>
    </row>
    <row r="55" spans="1:15">
      <c r="A55" s="3" t="s">
        <v>89</v>
      </c>
      <c r="B55" s="4">
        <v>45345</v>
      </c>
      <c r="C55" s="5">
        <f t="shared" si="0"/>
        <v>45323</v>
      </c>
      <c r="D55" s="3" t="s">
        <v>43</v>
      </c>
      <c r="E55" s="2" t="s">
        <v>44</v>
      </c>
      <c r="F55" s="2" t="s">
        <v>28</v>
      </c>
      <c r="G55" s="2" t="s">
        <v>29</v>
      </c>
      <c r="H55" s="3" t="s">
        <v>45</v>
      </c>
      <c r="I55" s="6">
        <v>45</v>
      </c>
      <c r="J55" s="6">
        <v>45</v>
      </c>
      <c r="K55" s="7">
        <v>0.995</v>
      </c>
      <c r="L55" s="7">
        <v>0.96050927307606104</v>
      </c>
      <c r="M55" s="7">
        <v>0.88560750394499566</v>
      </c>
      <c r="N55" s="8">
        <v>17070</v>
      </c>
      <c r="O55" s="7">
        <f t="shared" si="1"/>
        <v>0.9699478917504083</v>
      </c>
    </row>
    <row r="56" spans="1:15">
      <c r="A56" s="3" t="s">
        <v>90</v>
      </c>
      <c r="B56" s="4">
        <v>45345</v>
      </c>
      <c r="C56" s="5">
        <f t="shared" si="0"/>
        <v>45323</v>
      </c>
      <c r="D56" s="3" t="s">
        <v>43</v>
      </c>
      <c r="E56" s="2" t="s">
        <v>44</v>
      </c>
      <c r="F56" s="2" t="s">
        <v>28</v>
      </c>
      <c r="G56" s="2" t="s">
        <v>29</v>
      </c>
      <c r="H56" s="3" t="s">
        <v>45</v>
      </c>
      <c r="I56" s="6">
        <v>45</v>
      </c>
      <c r="J56" s="6">
        <v>49</v>
      </c>
      <c r="K56" s="7">
        <v>0.98946805293786366</v>
      </c>
      <c r="L56" s="7">
        <v>0.97109816309483521</v>
      </c>
      <c r="M56" s="7">
        <v>0.92125701017311901</v>
      </c>
      <c r="N56" s="8">
        <v>22960</v>
      </c>
      <c r="O56" s="7">
        <f t="shared" si="1"/>
        <v>1.0128386952888706</v>
      </c>
    </row>
    <row r="57" spans="1:15">
      <c r="A57" s="3" t="s">
        <v>91</v>
      </c>
      <c r="B57" s="4">
        <v>45348</v>
      </c>
      <c r="C57" s="5">
        <f t="shared" si="0"/>
        <v>45323</v>
      </c>
      <c r="D57" s="3" t="s">
        <v>43</v>
      </c>
      <c r="E57" s="2" t="s">
        <v>44</v>
      </c>
      <c r="F57" s="2" t="s">
        <v>28</v>
      </c>
      <c r="G57" s="2" t="s">
        <v>29</v>
      </c>
      <c r="H57" s="3" t="s">
        <v>45</v>
      </c>
      <c r="I57" s="6">
        <v>42</v>
      </c>
      <c r="J57" s="6">
        <v>46</v>
      </c>
      <c r="K57" s="7">
        <v>0.96938718103344368</v>
      </c>
      <c r="L57" s="7">
        <v>0.95880512142525154</v>
      </c>
      <c r="M57" s="7">
        <v>0.90649970509637667</v>
      </c>
      <c r="N57" s="8">
        <v>20350</v>
      </c>
      <c r="O57" s="7">
        <f t="shared" si="1"/>
        <v>1.0055627425866622</v>
      </c>
    </row>
    <row r="58" spans="1:15">
      <c r="A58" s="3" t="s">
        <v>92</v>
      </c>
      <c r="B58" s="4">
        <v>45349</v>
      </c>
      <c r="C58" s="5">
        <f t="shared" si="0"/>
        <v>45323</v>
      </c>
      <c r="D58" s="3" t="s">
        <v>22</v>
      </c>
      <c r="E58" s="2" t="s">
        <v>23</v>
      </c>
      <c r="F58" s="2" t="s">
        <v>18</v>
      </c>
      <c r="G58" s="2" t="s">
        <v>19</v>
      </c>
      <c r="H58" s="3" t="s">
        <v>24</v>
      </c>
      <c r="I58" s="6">
        <v>34</v>
      </c>
      <c r="J58" s="6">
        <v>33</v>
      </c>
      <c r="K58" s="7">
        <v>0.96391258905739485</v>
      </c>
      <c r="L58" s="7">
        <v>0.98715336638380735</v>
      </c>
      <c r="M58" s="7">
        <v>0.94577059770430127</v>
      </c>
      <c r="N58" s="8">
        <v>16640</v>
      </c>
      <c r="O58" s="7">
        <f t="shared" si="1"/>
        <v>0.96644056588042704</v>
      </c>
    </row>
    <row r="59" spans="1:15">
      <c r="A59" s="3" t="s">
        <v>93</v>
      </c>
      <c r="B59" s="4">
        <v>45351</v>
      </c>
      <c r="C59" s="5">
        <f t="shared" si="0"/>
        <v>45323</v>
      </c>
      <c r="D59" s="3" t="s">
        <v>26</v>
      </c>
      <c r="E59" s="2" t="s">
        <v>27</v>
      </c>
      <c r="F59" s="2" t="s">
        <v>28</v>
      </c>
      <c r="G59" s="2" t="s">
        <v>29</v>
      </c>
      <c r="H59" s="3" t="s">
        <v>20</v>
      </c>
      <c r="I59" s="6">
        <v>31</v>
      </c>
      <c r="J59" s="6">
        <v>24</v>
      </c>
      <c r="K59" s="7">
        <v>0.8701107812472525</v>
      </c>
      <c r="L59" s="7">
        <v>0.94241640450704667</v>
      </c>
      <c r="M59" s="7">
        <v>0.88790795889468643</v>
      </c>
      <c r="N59" s="8">
        <v>10110</v>
      </c>
      <c r="O59" s="7">
        <f t="shared" si="1"/>
        <v>0.84614916712164612</v>
      </c>
    </row>
    <row r="60" spans="1:15">
      <c r="A60" s="3" t="s">
        <v>94</v>
      </c>
      <c r="B60" s="4">
        <v>45351</v>
      </c>
      <c r="C60" s="5">
        <f t="shared" si="0"/>
        <v>45323</v>
      </c>
      <c r="D60" s="3" t="s">
        <v>39</v>
      </c>
      <c r="E60" s="2" t="s">
        <v>40</v>
      </c>
      <c r="F60" s="2" t="s">
        <v>36</v>
      </c>
      <c r="G60" s="2" t="s">
        <v>37</v>
      </c>
      <c r="H60" s="3" t="s">
        <v>24</v>
      </c>
      <c r="I60" s="6">
        <v>32</v>
      </c>
      <c r="J60" s="6">
        <v>33</v>
      </c>
      <c r="K60" s="7">
        <v>0.995</v>
      </c>
      <c r="L60" s="7">
        <v>0.98708313384885871</v>
      </c>
      <c r="M60" s="7">
        <v>0.98212755270782626</v>
      </c>
      <c r="N60" s="8">
        <v>15080</v>
      </c>
      <c r="O60" s="7">
        <f t="shared" si="1"/>
        <v>1.0057379806188942</v>
      </c>
    </row>
    <row r="61" spans="1:15">
      <c r="A61" s="3" t="s">
        <v>95</v>
      </c>
      <c r="B61" s="4">
        <v>45352</v>
      </c>
      <c r="C61" s="5">
        <f t="shared" si="0"/>
        <v>45352</v>
      </c>
      <c r="D61" s="3" t="s">
        <v>16</v>
      </c>
      <c r="E61" s="2" t="s">
        <v>17</v>
      </c>
      <c r="F61" s="2" t="s">
        <v>18</v>
      </c>
      <c r="G61" s="2" t="s">
        <v>19</v>
      </c>
      <c r="H61" s="3" t="s">
        <v>20</v>
      </c>
      <c r="I61" s="6">
        <v>54</v>
      </c>
      <c r="J61" s="6">
        <v>55</v>
      </c>
      <c r="K61" s="7">
        <v>0.96010917156138198</v>
      </c>
      <c r="L61" s="7">
        <v>0.99680029180157581</v>
      </c>
      <c r="M61" s="7">
        <v>0.92118046334084047</v>
      </c>
      <c r="N61" s="8">
        <v>35420</v>
      </c>
      <c r="O61" s="7">
        <f t="shared" si="1"/>
        <v>0.98119083673615748</v>
      </c>
    </row>
    <row r="62" spans="1:15">
      <c r="A62" s="3" t="s">
        <v>96</v>
      </c>
      <c r="B62" s="4">
        <v>45352</v>
      </c>
      <c r="C62" s="5">
        <f t="shared" si="0"/>
        <v>45352</v>
      </c>
      <c r="D62" s="3" t="s">
        <v>34</v>
      </c>
      <c r="E62" s="2" t="s">
        <v>35</v>
      </c>
      <c r="F62" s="2" t="s">
        <v>36</v>
      </c>
      <c r="G62" s="2" t="s">
        <v>37</v>
      </c>
      <c r="H62" s="3" t="s">
        <v>20</v>
      </c>
      <c r="I62" s="6">
        <v>33</v>
      </c>
      <c r="J62" s="6">
        <v>28</v>
      </c>
      <c r="K62" s="7">
        <v>0.9803700169839964</v>
      </c>
      <c r="L62" s="7">
        <v>0.95699405564193696</v>
      </c>
      <c r="M62" s="7">
        <v>0.98705844866831771</v>
      </c>
      <c r="N62" s="8">
        <v>12860</v>
      </c>
      <c r="O62" s="7">
        <f t="shared" si="1"/>
        <v>0.92544724171989257</v>
      </c>
    </row>
    <row r="63" spans="1:15">
      <c r="A63" s="3" t="s">
        <v>97</v>
      </c>
      <c r="B63" s="4">
        <v>45355</v>
      </c>
      <c r="C63" s="5">
        <f t="shared" si="0"/>
        <v>45352</v>
      </c>
      <c r="D63" s="3" t="s">
        <v>26</v>
      </c>
      <c r="E63" s="2" t="s">
        <v>27</v>
      </c>
      <c r="F63" s="2" t="s">
        <v>28</v>
      </c>
      <c r="G63" s="2" t="s">
        <v>29</v>
      </c>
      <c r="H63" s="3" t="s">
        <v>20</v>
      </c>
      <c r="I63" s="6">
        <v>50</v>
      </c>
      <c r="J63" s="6">
        <v>49</v>
      </c>
      <c r="K63" s="7">
        <v>0.8838279503144697</v>
      </c>
      <c r="L63" s="7">
        <v>0.93359807375515524</v>
      </c>
      <c r="M63" s="7">
        <v>0.88348955121252815</v>
      </c>
      <c r="N63" s="8">
        <v>19270</v>
      </c>
      <c r="O63" s="7">
        <f t="shared" si="1"/>
        <v>0.92969460888439626</v>
      </c>
    </row>
    <row r="64" spans="1:15">
      <c r="A64" s="3" t="s">
        <v>98</v>
      </c>
      <c r="B64" s="4">
        <v>45356</v>
      </c>
      <c r="C64" s="5">
        <f t="shared" si="0"/>
        <v>45352</v>
      </c>
      <c r="D64" s="3" t="s">
        <v>22</v>
      </c>
      <c r="E64" s="2" t="s">
        <v>23</v>
      </c>
      <c r="F64" s="2" t="s">
        <v>18</v>
      </c>
      <c r="G64" s="2" t="s">
        <v>19</v>
      </c>
      <c r="H64" s="3" t="s">
        <v>24</v>
      </c>
      <c r="I64" s="6">
        <v>46</v>
      </c>
      <c r="J64" s="6">
        <v>52</v>
      </c>
      <c r="K64" s="7">
        <v>0.95057321838039721</v>
      </c>
      <c r="L64" s="7">
        <v>0.96616870073631689</v>
      </c>
      <c r="M64" s="7">
        <v>0.97212614067947767</v>
      </c>
      <c r="N64" s="8">
        <v>28580</v>
      </c>
      <c r="O64" s="7">
        <f t="shared" si="1"/>
        <v>1.0291677508849206</v>
      </c>
    </row>
    <row r="65" spans="1:15">
      <c r="A65" s="3" t="s">
        <v>99</v>
      </c>
      <c r="B65" s="4">
        <v>45357</v>
      </c>
      <c r="C65" s="5">
        <f t="shared" si="0"/>
        <v>45352</v>
      </c>
      <c r="D65" s="3" t="s">
        <v>43</v>
      </c>
      <c r="E65" s="2" t="s">
        <v>44</v>
      </c>
      <c r="F65" s="2" t="s">
        <v>28</v>
      </c>
      <c r="G65" s="2" t="s">
        <v>29</v>
      </c>
      <c r="H65" s="3" t="s">
        <v>45</v>
      </c>
      <c r="I65" s="6">
        <v>36</v>
      </c>
      <c r="J65" s="6">
        <v>38</v>
      </c>
      <c r="K65" s="7">
        <v>0.96038560885659841</v>
      </c>
      <c r="L65" s="7">
        <v>0.99723212737892752</v>
      </c>
      <c r="M65" s="7">
        <v>0.92624947799810819</v>
      </c>
      <c r="N65" s="8">
        <v>18120</v>
      </c>
      <c r="O65" s="7">
        <f t="shared" si="1"/>
        <v>0.99715333914283277</v>
      </c>
    </row>
    <row r="66" spans="1:15">
      <c r="A66" s="3" t="s">
        <v>100</v>
      </c>
      <c r="B66" s="4">
        <v>45359</v>
      </c>
      <c r="C66" s="5">
        <f t="shared" ref="C66:C129" si="2">DATE(YEAR(B66),MONTH(B66),1)</f>
        <v>45352</v>
      </c>
      <c r="D66" s="3" t="s">
        <v>22</v>
      </c>
      <c r="E66" s="2" t="s">
        <v>23</v>
      </c>
      <c r="F66" s="2" t="s">
        <v>18</v>
      </c>
      <c r="G66" s="2" t="s">
        <v>19</v>
      </c>
      <c r="H66" s="3" t="s">
        <v>24</v>
      </c>
      <c r="I66" s="6">
        <v>39</v>
      </c>
      <c r="J66" s="6">
        <v>40</v>
      </c>
      <c r="K66" s="7">
        <v>0.95686492642023424</v>
      </c>
      <c r="L66" s="7">
        <v>0.97890481146142894</v>
      </c>
      <c r="M66" s="7">
        <v>0.97161726907215396</v>
      </c>
      <c r="N66" s="8">
        <v>23770</v>
      </c>
      <c r="O66" s="7">
        <f t="shared" ref="O66:O129" si="3">MIN(J66/I66,1.2)*40%+K66*25%+L66*15%+M66*20%</f>
        <v>0.99063181739511397</v>
      </c>
    </row>
    <row r="67" spans="1:15">
      <c r="A67" s="3" t="s">
        <v>101</v>
      </c>
      <c r="B67" s="4">
        <v>45359</v>
      </c>
      <c r="C67" s="5">
        <f t="shared" si="2"/>
        <v>45352</v>
      </c>
      <c r="D67" s="3" t="s">
        <v>39</v>
      </c>
      <c r="E67" s="2" t="s">
        <v>40</v>
      </c>
      <c r="F67" s="2" t="s">
        <v>36</v>
      </c>
      <c r="G67" s="2" t="s">
        <v>37</v>
      </c>
      <c r="H67" s="3" t="s">
        <v>24</v>
      </c>
      <c r="I67" s="6">
        <v>45</v>
      </c>
      <c r="J67" s="6">
        <v>49</v>
      </c>
      <c r="K67" s="7">
        <v>0.9439727287978944</v>
      </c>
      <c r="L67" s="7">
        <v>0.99319962263264783</v>
      </c>
      <c r="M67" s="7">
        <v>0.967656787204345</v>
      </c>
      <c r="N67" s="8">
        <v>21250</v>
      </c>
      <c r="O67" s="7">
        <f t="shared" si="3"/>
        <v>1.0140600385907952</v>
      </c>
    </row>
    <row r="68" spans="1:15">
      <c r="A68" s="3" t="s">
        <v>102</v>
      </c>
      <c r="B68" s="4">
        <v>45362</v>
      </c>
      <c r="C68" s="5">
        <f t="shared" si="2"/>
        <v>45352</v>
      </c>
      <c r="D68" s="3" t="s">
        <v>16</v>
      </c>
      <c r="E68" s="2" t="s">
        <v>17</v>
      </c>
      <c r="F68" s="2" t="s">
        <v>18</v>
      </c>
      <c r="G68" s="2" t="s">
        <v>19</v>
      </c>
      <c r="H68" s="3" t="s">
        <v>20</v>
      </c>
      <c r="I68" s="6">
        <v>35</v>
      </c>
      <c r="J68" s="6">
        <v>37</v>
      </c>
      <c r="K68" s="7">
        <v>0.94958224073750219</v>
      </c>
      <c r="L68" s="7">
        <v>0.99177408819237245</v>
      </c>
      <c r="M68" s="7">
        <v>0.93341123841217499</v>
      </c>
      <c r="N68" s="8">
        <v>23650</v>
      </c>
      <c r="O68" s="7">
        <f t="shared" si="3"/>
        <v>0.99570106395280922</v>
      </c>
    </row>
    <row r="69" spans="1:15">
      <c r="A69" s="3" t="s">
        <v>103</v>
      </c>
      <c r="B69" s="4">
        <v>45365</v>
      </c>
      <c r="C69" s="5">
        <f t="shared" si="2"/>
        <v>45352</v>
      </c>
      <c r="D69" s="3" t="s">
        <v>43</v>
      </c>
      <c r="E69" s="2" t="s">
        <v>44</v>
      </c>
      <c r="F69" s="2" t="s">
        <v>28</v>
      </c>
      <c r="G69" s="2" t="s">
        <v>29</v>
      </c>
      <c r="H69" s="3" t="s">
        <v>45</v>
      </c>
      <c r="I69" s="6">
        <v>47</v>
      </c>
      <c r="J69" s="6">
        <v>47</v>
      </c>
      <c r="K69" s="7">
        <v>0.92719915274920961</v>
      </c>
      <c r="L69" s="7">
        <v>0.98065359606618319</v>
      </c>
      <c r="M69" s="7">
        <v>0.95005916828242976</v>
      </c>
      <c r="N69" s="8">
        <v>18570</v>
      </c>
      <c r="O69" s="7">
        <f t="shared" si="3"/>
        <v>0.96890966125371591</v>
      </c>
    </row>
    <row r="70" spans="1:15">
      <c r="A70" s="3" t="s">
        <v>104</v>
      </c>
      <c r="B70" s="4">
        <v>45365</v>
      </c>
      <c r="C70" s="5">
        <f t="shared" si="2"/>
        <v>45352</v>
      </c>
      <c r="D70" s="3" t="s">
        <v>39</v>
      </c>
      <c r="E70" s="2" t="s">
        <v>40</v>
      </c>
      <c r="F70" s="2" t="s">
        <v>36</v>
      </c>
      <c r="G70" s="2" t="s">
        <v>37</v>
      </c>
      <c r="H70" s="3" t="s">
        <v>24</v>
      </c>
      <c r="I70" s="6">
        <v>29</v>
      </c>
      <c r="J70" s="6">
        <v>32</v>
      </c>
      <c r="K70" s="7">
        <v>0.93153086499405136</v>
      </c>
      <c r="L70" s="7">
        <v>1</v>
      </c>
      <c r="M70" s="7">
        <v>0.97703449794968966</v>
      </c>
      <c r="N70" s="8">
        <v>15930</v>
      </c>
      <c r="O70" s="7">
        <f t="shared" si="3"/>
        <v>1.0196689261832783</v>
      </c>
    </row>
    <row r="71" spans="1:15">
      <c r="A71" s="3" t="s">
        <v>105</v>
      </c>
      <c r="B71" s="4">
        <v>45366</v>
      </c>
      <c r="C71" s="5">
        <f t="shared" si="2"/>
        <v>45352</v>
      </c>
      <c r="D71" s="3" t="s">
        <v>16</v>
      </c>
      <c r="E71" s="2" t="s">
        <v>17</v>
      </c>
      <c r="F71" s="2" t="s">
        <v>18</v>
      </c>
      <c r="G71" s="2" t="s">
        <v>19</v>
      </c>
      <c r="H71" s="3" t="s">
        <v>20</v>
      </c>
      <c r="I71" s="6">
        <v>37</v>
      </c>
      <c r="J71" s="6">
        <v>39</v>
      </c>
      <c r="K71" s="7">
        <v>0.94202822281164011</v>
      </c>
      <c r="L71" s="7">
        <v>0.95994928934985679</v>
      </c>
      <c r="M71" s="7">
        <v>0.94631174581395749</v>
      </c>
      <c r="N71" s="8">
        <v>23320</v>
      </c>
      <c r="O71" s="7">
        <f t="shared" si="3"/>
        <v>0.99038341988980161</v>
      </c>
    </row>
    <row r="72" spans="1:15">
      <c r="A72" s="3" t="s">
        <v>106</v>
      </c>
      <c r="B72" s="4">
        <v>45366</v>
      </c>
      <c r="C72" s="5">
        <f t="shared" si="2"/>
        <v>45352</v>
      </c>
      <c r="D72" s="3" t="s">
        <v>16</v>
      </c>
      <c r="E72" s="2" t="s">
        <v>17</v>
      </c>
      <c r="F72" s="2" t="s">
        <v>18</v>
      </c>
      <c r="G72" s="2" t="s">
        <v>19</v>
      </c>
      <c r="H72" s="3" t="s">
        <v>20</v>
      </c>
      <c r="I72" s="6">
        <v>42</v>
      </c>
      <c r="J72" s="6">
        <v>42</v>
      </c>
      <c r="K72" s="7">
        <v>0.94680874761140388</v>
      </c>
      <c r="L72" s="7">
        <v>0.99341666647085503</v>
      </c>
      <c r="M72" s="7">
        <v>0.96662859950968505</v>
      </c>
      <c r="N72" s="8">
        <v>24530</v>
      </c>
      <c r="O72" s="7">
        <f t="shared" si="3"/>
        <v>0.97904040677541626</v>
      </c>
    </row>
    <row r="73" spans="1:15">
      <c r="A73" s="3" t="s">
        <v>107</v>
      </c>
      <c r="B73" s="4">
        <v>45366</v>
      </c>
      <c r="C73" s="5">
        <f t="shared" si="2"/>
        <v>45352</v>
      </c>
      <c r="D73" s="3" t="s">
        <v>16</v>
      </c>
      <c r="E73" s="2" t="s">
        <v>17</v>
      </c>
      <c r="F73" s="2" t="s">
        <v>18</v>
      </c>
      <c r="G73" s="2" t="s">
        <v>19</v>
      </c>
      <c r="H73" s="3" t="s">
        <v>20</v>
      </c>
      <c r="I73" s="6">
        <v>42</v>
      </c>
      <c r="J73" s="6">
        <v>49</v>
      </c>
      <c r="K73" s="7">
        <v>0.93871256871142927</v>
      </c>
      <c r="L73" s="7">
        <v>0.95262691951553136</v>
      </c>
      <c r="M73" s="7">
        <v>0.94873274852959955</v>
      </c>
      <c r="N73" s="8">
        <v>31360</v>
      </c>
      <c r="O73" s="7">
        <f t="shared" si="3"/>
        <v>1.0339853964777737</v>
      </c>
    </row>
    <row r="74" spans="1:15">
      <c r="A74" s="3" t="s">
        <v>108</v>
      </c>
      <c r="B74" s="4">
        <v>45366</v>
      </c>
      <c r="C74" s="5">
        <f t="shared" si="2"/>
        <v>45352</v>
      </c>
      <c r="D74" s="3" t="s">
        <v>43</v>
      </c>
      <c r="E74" s="2" t="s">
        <v>44</v>
      </c>
      <c r="F74" s="2" t="s">
        <v>28</v>
      </c>
      <c r="G74" s="2" t="s">
        <v>29</v>
      </c>
      <c r="H74" s="3" t="s">
        <v>45</v>
      </c>
      <c r="I74" s="6">
        <v>30</v>
      </c>
      <c r="J74" s="6">
        <v>31</v>
      </c>
      <c r="K74" s="7">
        <v>0.97466931007926394</v>
      </c>
      <c r="L74" s="7">
        <v>0.98220214013435347</v>
      </c>
      <c r="M74" s="7">
        <v>0.90472269508824577</v>
      </c>
      <c r="N74" s="8">
        <v>12730</v>
      </c>
      <c r="O74" s="7">
        <f t="shared" si="3"/>
        <v>0.9852755208909515</v>
      </c>
    </row>
    <row r="75" spans="1:15">
      <c r="A75" s="3" t="s">
        <v>109</v>
      </c>
      <c r="B75" s="4">
        <v>45366</v>
      </c>
      <c r="C75" s="5">
        <f t="shared" si="2"/>
        <v>45352</v>
      </c>
      <c r="D75" s="3" t="s">
        <v>34</v>
      </c>
      <c r="E75" s="2" t="s">
        <v>35</v>
      </c>
      <c r="F75" s="2" t="s">
        <v>36</v>
      </c>
      <c r="G75" s="2" t="s">
        <v>37</v>
      </c>
      <c r="H75" s="3" t="s">
        <v>20</v>
      </c>
      <c r="I75" s="6">
        <v>33</v>
      </c>
      <c r="J75" s="6">
        <v>35</v>
      </c>
      <c r="K75" s="7">
        <v>0.93084018419512826</v>
      </c>
      <c r="L75" s="7">
        <v>0.94758436227239073</v>
      </c>
      <c r="M75" s="7">
        <v>0.92754584375874649</v>
      </c>
      <c r="N75" s="8">
        <v>15020</v>
      </c>
      <c r="O75" s="7">
        <f t="shared" si="3"/>
        <v>0.98459929338381413</v>
      </c>
    </row>
    <row r="76" spans="1:15">
      <c r="A76" s="3" t="s">
        <v>110</v>
      </c>
      <c r="B76" s="4">
        <v>45369</v>
      </c>
      <c r="C76" s="5">
        <f t="shared" si="2"/>
        <v>45352</v>
      </c>
      <c r="D76" s="3" t="s">
        <v>16</v>
      </c>
      <c r="E76" s="2" t="s">
        <v>17</v>
      </c>
      <c r="F76" s="2" t="s">
        <v>18</v>
      </c>
      <c r="G76" s="2" t="s">
        <v>19</v>
      </c>
      <c r="H76" s="3" t="s">
        <v>20</v>
      </c>
      <c r="I76" s="6">
        <v>38</v>
      </c>
      <c r="J76" s="6">
        <v>38</v>
      </c>
      <c r="K76" s="7">
        <v>0.91922851816185258</v>
      </c>
      <c r="L76" s="7">
        <v>0.93087609140434135</v>
      </c>
      <c r="M76" s="7">
        <v>0.88978818150232186</v>
      </c>
      <c r="N76" s="8">
        <v>20810</v>
      </c>
      <c r="O76" s="7">
        <f t="shared" si="3"/>
        <v>0.94739617955157873</v>
      </c>
    </row>
    <row r="77" spans="1:15">
      <c r="A77" s="3" t="s">
        <v>111</v>
      </c>
      <c r="B77" s="4">
        <v>45369</v>
      </c>
      <c r="C77" s="5">
        <f t="shared" si="2"/>
        <v>45352</v>
      </c>
      <c r="D77" s="3" t="s">
        <v>43</v>
      </c>
      <c r="E77" s="2" t="s">
        <v>44</v>
      </c>
      <c r="F77" s="2" t="s">
        <v>28</v>
      </c>
      <c r="G77" s="2" t="s">
        <v>29</v>
      </c>
      <c r="H77" s="3" t="s">
        <v>45</v>
      </c>
      <c r="I77" s="6">
        <v>33</v>
      </c>
      <c r="J77" s="6">
        <v>38</v>
      </c>
      <c r="K77" s="7">
        <v>0.93980386056484533</v>
      </c>
      <c r="L77" s="7">
        <v>0.95740763295477493</v>
      </c>
      <c r="M77" s="7">
        <v>0.92780939568648002</v>
      </c>
      <c r="N77" s="8">
        <v>16350</v>
      </c>
      <c r="O77" s="7">
        <f t="shared" si="3"/>
        <v>1.0247300498277843</v>
      </c>
    </row>
    <row r="78" spans="1:15">
      <c r="A78" s="3" t="s">
        <v>112</v>
      </c>
      <c r="B78" s="4">
        <v>45370</v>
      </c>
      <c r="C78" s="5">
        <f t="shared" si="2"/>
        <v>45352</v>
      </c>
      <c r="D78" s="3" t="s">
        <v>39</v>
      </c>
      <c r="E78" s="2" t="s">
        <v>40</v>
      </c>
      <c r="F78" s="2" t="s">
        <v>36</v>
      </c>
      <c r="G78" s="2" t="s">
        <v>37</v>
      </c>
      <c r="H78" s="3" t="s">
        <v>24</v>
      </c>
      <c r="I78" s="6">
        <v>31</v>
      </c>
      <c r="J78" s="6">
        <v>35</v>
      </c>
      <c r="K78" s="7">
        <v>0.97088124565715483</v>
      </c>
      <c r="L78" s="7">
        <v>0.98614924037846197</v>
      </c>
      <c r="M78" s="7">
        <v>0.98235830006422309</v>
      </c>
      <c r="N78" s="8">
        <v>15640</v>
      </c>
      <c r="O78" s="7">
        <f t="shared" si="3"/>
        <v>1.0387272607097091</v>
      </c>
    </row>
    <row r="79" spans="1:15">
      <c r="A79" s="3" t="s">
        <v>113</v>
      </c>
      <c r="B79" s="4">
        <v>45371</v>
      </c>
      <c r="C79" s="5">
        <f t="shared" si="2"/>
        <v>45352</v>
      </c>
      <c r="D79" s="3" t="s">
        <v>43</v>
      </c>
      <c r="E79" s="2" t="s">
        <v>44</v>
      </c>
      <c r="F79" s="2" t="s">
        <v>28</v>
      </c>
      <c r="G79" s="2" t="s">
        <v>29</v>
      </c>
      <c r="H79" s="3" t="s">
        <v>45</v>
      </c>
      <c r="I79" s="6">
        <v>55</v>
      </c>
      <c r="J79" s="6">
        <v>56</v>
      </c>
      <c r="K79" s="7">
        <v>0.97483252199515102</v>
      </c>
      <c r="L79" s="7">
        <v>0.95876775664761715</v>
      </c>
      <c r="M79" s="7">
        <v>0.9418133682973322</v>
      </c>
      <c r="N79" s="8">
        <v>22370</v>
      </c>
      <c r="O79" s="7">
        <f t="shared" si="3"/>
        <v>0.98315869492812402</v>
      </c>
    </row>
    <row r="80" spans="1:15">
      <c r="A80" s="3" t="s">
        <v>114</v>
      </c>
      <c r="B80" s="4">
        <v>45372</v>
      </c>
      <c r="C80" s="5">
        <f t="shared" si="2"/>
        <v>45352</v>
      </c>
      <c r="D80" s="3" t="s">
        <v>43</v>
      </c>
      <c r="E80" s="2" t="s">
        <v>44</v>
      </c>
      <c r="F80" s="2" t="s">
        <v>28</v>
      </c>
      <c r="G80" s="2" t="s">
        <v>29</v>
      </c>
      <c r="H80" s="3" t="s">
        <v>45</v>
      </c>
      <c r="I80" s="6">
        <v>44</v>
      </c>
      <c r="J80" s="6">
        <v>54</v>
      </c>
      <c r="K80" s="7">
        <v>0.91816300629152814</v>
      </c>
      <c r="L80" s="7">
        <v>0.98896849657033303</v>
      </c>
      <c r="M80" s="7">
        <v>0.93989636397541121</v>
      </c>
      <c r="N80" s="8">
        <v>23220</v>
      </c>
      <c r="O80" s="7">
        <f t="shared" si="3"/>
        <v>1.0458652988535142</v>
      </c>
    </row>
    <row r="81" spans="1:15">
      <c r="A81" s="3" t="s">
        <v>115</v>
      </c>
      <c r="B81" s="4">
        <v>45372</v>
      </c>
      <c r="C81" s="5">
        <f t="shared" si="2"/>
        <v>45352</v>
      </c>
      <c r="D81" s="3" t="s">
        <v>34</v>
      </c>
      <c r="E81" s="2" t="s">
        <v>35</v>
      </c>
      <c r="F81" s="2" t="s">
        <v>36</v>
      </c>
      <c r="G81" s="2" t="s">
        <v>37</v>
      </c>
      <c r="H81" s="3" t="s">
        <v>20</v>
      </c>
      <c r="I81" s="6">
        <v>41</v>
      </c>
      <c r="J81" s="6">
        <v>39</v>
      </c>
      <c r="K81" s="7">
        <v>0.88963296968110905</v>
      </c>
      <c r="L81" s="7">
        <v>0.98744221669665766</v>
      </c>
      <c r="M81" s="7">
        <v>0.96187283703028037</v>
      </c>
      <c r="N81" s="8">
        <v>19160</v>
      </c>
      <c r="O81" s="7">
        <f t="shared" si="3"/>
        <v>0.94338694720888072</v>
      </c>
    </row>
    <row r="82" spans="1:15">
      <c r="A82" s="3" t="s">
        <v>116</v>
      </c>
      <c r="B82" s="4">
        <v>45372</v>
      </c>
      <c r="C82" s="5">
        <f t="shared" si="2"/>
        <v>45352</v>
      </c>
      <c r="D82" s="3" t="s">
        <v>39</v>
      </c>
      <c r="E82" s="2" t="s">
        <v>40</v>
      </c>
      <c r="F82" s="2" t="s">
        <v>36</v>
      </c>
      <c r="G82" s="2" t="s">
        <v>37</v>
      </c>
      <c r="H82" s="3" t="s">
        <v>24</v>
      </c>
      <c r="I82" s="6">
        <v>39</v>
      </c>
      <c r="J82" s="6">
        <v>47</v>
      </c>
      <c r="K82" s="7">
        <v>0.94362870237775121</v>
      </c>
      <c r="L82" s="7">
        <v>0.97979112551747893</v>
      </c>
      <c r="M82" s="7">
        <v>0.95126603195130244</v>
      </c>
      <c r="N82" s="8">
        <v>24700</v>
      </c>
      <c r="O82" s="7">
        <f t="shared" si="3"/>
        <v>1.0531290508123201</v>
      </c>
    </row>
    <row r="83" spans="1:15">
      <c r="A83" s="3" t="s">
        <v>117</v>
      </c>
      <c r="B83" s="4">
        <v>45373</v>
      </c>
      <c r="C83" s="5">
        <f t="shared" si="2"/>
        <v>45352</v>
      </c>
      <c r="D83" s="3" t="s">
        <v>22</v>
      </c>
      <c r="E83" s="2" t="s">
        <v>23</v>
      </c>
      <c r="F83" s="2" t="s">
        <v>18</v>
      </c>
      <c r="G83" s="2" t="s">
        <v>19</v>
      </c>
      <c r="H83" s="3" t="s">
        <v>24</v>
      </c>
      <c r="I83" s="6">
        <v>47</v>
      </c>
      <c r="J83" s="6">
        <v>45</v>
      </c>
      <c r="K83" s="7">
        <v>0.9093971569337721</v>
      </c>
      <c r="L83" s="7">
        <v>0.93606737950216401</v>
      </c>
      <c r="M83" s="7">
        <v>0.93899514262507977</v>
      </c>
      <c r="N83" s="8">
        <v>25270</v>
      </c>
      <c r="O83" s="7">
        <f t="shared" si="3"/>
        <v>0.93853714808803901</v>
      </c>
    </row>
    <row r="84" spans="1:15">
      <c r="A84" s="3" t="s">
        <v>118</v>
      </c>
      <c r="B84" s="4">
        <v>45373</v>
      </c>
      <c r="C84" s="5">
        <f t="shared" si="2"/>
        <v>45352</v>
      </c>
      <c r="D84" s="3" t="s">
        <v>43</v>
      </c>
      <c r="E84" s="2" t="s">
        <v>44</v>
      </c>
      <c r="F84" s="2" t="s">
        <v>28</v>
      </c>
      <c r="G84" s="2" t="s">
        <v>29</v>
      </c>
      <c r="H84" s="3" t="s">
        <v>45</v>
      </c>
      <c r="I84" s="6">
        <v>43</v>
      </c>
      <c r="J84" s="6">
        <v>41</v>
      </c>
      <c r="K84" s="7">
        <v>0.995</v>
      </c>
      <c r="L84" s="7">
        <v>0.97758553005329618</v>
      </c>
      <c r="M84" s="7">
        <v>0.92860347554795075</v>
      </c>
      <c r="N84" s="8">
        <v>17170</v>
      </c>
      <c r="O84" s="7">
        <f t="shared" si="3"/>
        <v>0.96250387345479393</v>
      </c>
    </row>
    <row r="85" spans="1:15">
      <c r="A85" s="3" t="s">
        <v>119</v>
      </c>
      <c r="B85" s="4">
        <v>45373</v>
      </c>
      <c r="C85" s="5">
        <f t="shared" si="2"/>
        <v>45352</v>
      </c>
      <c r="D85" s="3" t="s">
        <v>43</v>
      </c>
      <c r="E85" s="2" t="s">
        <v>44</v>
      </c>
      <c r="F85" s="2" t="s">
        <v>28</v>
      </c>
      <c r="G85" s="2" t="s">
        <v>29</v>
      </c>
      <c r="H85" s="3" t="s">
        <v>45</v>
      </c>
      <c r="I85" s="6">
        <v>54</v>
      </c>
      <c r="J85" s="6">
        <v>55</v>
      </c>
      <c r="K85" s="7">
        <v>0.995</v>
      </c>
      <c r="L85" s="7">
        <v>0.98923398590512113</v>
      </c>
      <c r="M85" s="7">
        <v>0.90873033575009377</v>
      </c>
      <c r="N85" s="8">
        <v>24780</v>
      </c>
      <c r="O85" s="7">
        <f t="shared" si="3"/>
        <v>0.98628857244319434</v>
      </c>
    </row>
    <row r="86" spans="1:15">
      <c r="A86" s="3" t="s">
        <v>120</v>
      </c>
      <c r="B86" s="4">
        <v>45378</v>
      </c>
      <c r="C86" s="5">
        <f t="shared" si="2"/>
        <v>45352</v>
      </c>
      <c r="D86" s="3" t="s">
        <v>43</v>
      </c>
      <c r="E86" s="2" t="s">
        <v>44</v>
      </c>
      <c r="F86" s="2" t="s">
        <v>28</v>
      </c>
      <c r="G86" s="2" t="s">
        <v>29</v>
      </c>
      <c r="H86" s="3" t="s">
        <v>45</v>
      </c>
      <c r="I86" s="6">
        <v>37</v>
      </c>
      <c r="J86" s="6">
        <v>35</v>
      </c>
      <c r="K86" s="7">
        <v>0.93745040176845085</v>
      </c>
      <c r="L86" s="7">
        <v>0.9755445152102683</v>
      </c>
      <c r="M86" s="7">
        <v>0.93243727870792725</v>
      </c>
      <c r="N86" s="8">
        <v>15540</v>
      </c>
      <c r="O86" s="7">
        <f t="shared" si="3"/>
        <v>0.94556011184361677</v>
      </c>
    </row>
    <row r="87" spans="1:15">
      <c r="A87" s="3" t="s">
        <v>121</v>
      </c>
      <c r="B87" s="4">
        <v>45378</v>
      </c>
      <c r="C87" s="5">
        <f t="shared" si="2"/>
        <v>45352</v>
      </c>
      <c r="D87" s="3" t="s">
        <v>39</v>
      </c>
      <c r="E87" s="2" t="s">
        <v>40</v>
      </c>
      <c r="F87" s="2" t="s">
        <v>36</v>
      </c>
      <c r="G87" s="2" t="s">
        <v>37</v>
      </c>
      <c r="H87" s="3" t="s">
        <v>24</v>
      </c>
      <c r="I87" s="6">
        <v>46</v>
      </c>
      <c r="J87" s="6">
        <v>52</v>
      </c>
      <c r="K87" s="7">
        <v>0.96800504408208621</v>
      </c>
      <c r="L87" s="7">
        <v>0.98302124541774938</v>
      </c>
      <c r="M87" s="7">
        <v>0.96036345861433992</v>
      </c>
      <c r="N87" s="8">
        <v>25660</v>
      </c>
      <c r="O87" s="7">
        <f t="shared" si="3"/>
        <v>1.0337010525995303</v>
      </c>
    </row>
    <row r="88" spans="1:15">
      <c r="A88" s="3" t="s">
        <v>122</v>
      </c>
      <c r="B88" s="4">
        <v>45380</v>
      </c>
      <c r="C88" s="5">
        <f t="shared" si="2"/>
        <v>45352</v>
      </c>
      <c r="D88" s="3" t="s">
        <v>26</v>
      </c>
      <c r="E88" s="2" t="s">
        <v>27</v>
      </c>
      <c r="F88" s="2" t="s">
        <v>28</v>
      </c>
      <c r="G88" s="2" t="s">
        <v>29</v>
      </c>
      <c r="H88" s="3" t="s">
        <v>20</v>
      </c>
      <c r="I88" s="6">
        <v>36</v>
      </c>
      <c r="J88" s="6">
        <v>33</v>
      </c>
      <c r="K88" s="7">
        <v>0.91793018772711343</v>
      </c>
      <c r="L88" s="7">
        <v>0.92991980754293446</v>
      </c>
      <c r="M88" s="7">
        <v>0.85232980682764825</v>
      </c>
      <c r="N88" s="8">
        <v>12320</v>
      </c>
      <c r="O88" s="7">
        <f t="shared" si="3"/>
        <v>0.90610314609541498</v>
      </c>
    </row>
    <row r="89" spans="1:15">
      <c r="A89" s="3" t="s">
        <v>123</v>
      </c>
      <c r="B89" s="4">
        <v>45380</v>
      </c>
      <c r="C89" s="5">
        <f t="shared" si="2"/>
        <v>45352</v>
      </c>
      <c r="D89" s="3" t="s">
        <v>39</v>
      </c>
      <c r="E89" s="2" t="s">
        <v>40</v>
      </c>
      <c r="F89" s="2" t="s">
        <v>36</v>
      </c>
      <c r="G89" s="2" t="s">
        <v>37</v>
      </c>
      <c r="H89" s="3" t="s">
        <v>24</v>
      </c>
      <c r="I89" s="6">
        <v>33</v>
      </c>
      <c r="J89" s="6">
        <v>34</v>
      </c>
      <c r="K89" s="7">
        <v>0.97385719473543708</v>
      </c>
      <c r="L89" s="7">
        <v>0.97162037797395484</v>
      </c>
      <c r="M89" s="7">
        <v>0.96901546452467935</v>
      </c>
      <c r="N89" s="8">
        <v>14690</v>
      </c>
      <c r="O89" s="7">
        <f t="shared" si="3"/>
        <v>0.99513166040610057</v>
      </c>
    </row>
    <row r="90" spans="1:15">
      <c r="A90" s="3" t="s">
        <v>124</v>
      </c>
      <c r="B90" s="4">
        <v>45383</v>
      </c>
      <c r="C90" s="5">
        <f t="shared" si="2"/>
        <v>45383</v>
      </c>
      <c r="D90" s="3" t="s">
        <v>16</v>
      </c>
      <c r="E90" s="2" t="s">
        <v>17</v>
      </c>
      <c r="F90" s="2" t="s">
        <v>18</v>
      </c>
      <c r="G90" s="2" t="s">
        <v>19</v>
      </c>
      <c r="H90" s="3" t="s">
        <v>20</v>
      </c>
      <c r="I90" s="6">
        <v>31</v>
      </c>
      <c r="J90" s="6">
        <v>33</v>
      </c>
      <c r="K90" s="7">
        <v>0.91733549838431849</v>
      </c>
      <c r="L90" s="7">
        <v>0.96083159858148959</v>
      </c>
      <c r="M90" s="7">
        <v>0.94935835294365756</v>
      </c>
      <c r="N90" s="8">
        <v>19420</v>
      </c>
      <c r="O90" s="7">
        <f t="shared" si="3"/>
        <v>0.98913673658493773</v>
      </c>
    </row>
    <row r="91" spans="1:15">
      <c r="A91" s="3" t="s">
        <v>125</v>
      </c>
      <c r="B91" s="4">
        <v>45383</v>
      </c>
      <c r="C91" s="5">
        <f t="shared" si="2"/>
        <v>45383</v>
      </c>
      <c r="D91" s="3" t="s">
        <v>39</v>
      </c>
      <c r="E91" s="2" t="s">
        <v>40</v>
      </c>
      <c r="F91" s="2" t="s">
        <v>36</v>
      </c>
      <c r="G91" s="2" t="s">
        <v>37</v>
      </c>
      <c r="H91" s="3" t="s">
        <v>24</v>
      </c>
      <c r="I91" s="6">
        <v>42</v>
      </c>
      <c r="J91" s="6">
        <v>46</v>
      </c>
      <c r="K91" s="7">
        <v>0.98455516346230887</v>
      </c>
      <c r="L91" s="7">
        <v>0.98146416573857276</v>
      </c>
      <c r="M91" s="7">
        <v>0.97326323166877404</v>
      </c>
      <c r="N91" s="8">
        <v>22480</v>
      </c>
      <c r="O91" s="7">
        <f t="shared" si="3"/>
        <v>1.0261063001553561</v>
      </c>
    </row>
    <row r="92" spans="1:15">
      <c r="A92" s="3" t="s">
        <v>126</v>
      </c>
      <c r="B92" s="4">
        <v>45384</v>
      </c>
      <c r="C92" s="5">
        <f t="shared" si="2"/>
        <v>45383</v>
      </c>
      <c r="D92" s="3" t="s">
        <v>26</v>
      </c>
      <c r="E92" s="2" t="s">
        <v>27</v>
      </c>
      <c r="F92" s="2" t="s">
        <v>28</v>
      </c>
      <c r="G92" s="2" t="s">
        <v>29</v>
      </c>
      <c r="H92" s="3" t="s">
        <v>20</v>
      </c>
      <c r="I92" s="6">
        <v>35</v>
      </c>
      <c r="J92" s="6">
        <v>30</v>
      </c>
      <c r="K92" s="7">
        <v>0.91869023471946865</v>
      </c>
      <c r="L92" s="7">
        <v>0.95974139836360495</v>
      </c>
      <c r="M92" s="7">
        <v>0.90959254341381146</v>
      </c>
      <c r="N92" s="8">
        <v>11920</v>
      </c>
      <c r="O92" s="7">
        <f t="shared" si="3"/>
        <v>0.89840941997431301</v>
      </c>
    </row>
    <row r="93" spans="1:15">
      <c r="A93" s="3" t="s">
        <v>127</v>
      </c>
      <c r="B93" s="4">
        <v>45384</v>
      </c>
      <c r="C93" s="5">
        <f t="shared" si="2"/>
        <v>45383</v>
      </c>
      <c r="D93" s="3" t="s">
        <v>39</v>
      </c>
      <c r="E93" s="2" t="s">
        <v>40</v>
      </c>
      <c r="F93" s="2" t="s">
        <v>36</v>
      </c>
      <c r="G93" s="2" t="s">
        <v>37</v>
      </c>
      <c r="H93" s="3" t="s">
        <v>24</v>
      </c>
      <c r="I93" s="6">
        <v>34</v>
      </c>
      <c r="J93" s="6">
        <v>40</v>
      </c>
      <c r="K93" s="7">
        <v>0.91280404383132541</v>
      </c>
      <c r="L93" s="7">
        <v>1</v>
      </c>
      <c r="M93" s="7">
        <v>0.94807352790635424</v>
      </c>
      <c r="N93" s="8">
        <v>16700</v>
      </c>
      <c r="O93" s="7">
        <f t="shared" si="3"/>
        <v>1.03840395183322</v>
      </c>
    </row>
    <row r="94" spans="1:15">
      <c r="A94" s="3" t="s">
        <v>128</v>
      </c>
      <c r="B94" s="4">
        <v>45386</v>
      </c>
      <c r="C94" s="5">
        <f t="shared" si="2"/>
        <v>45383</v>
      </c>
      <c r="D94" s="3" t="s">
        <v>16</v>
      </c>
      <c r="E94" s="2" t="s">
        <v>17</v>
      </c>
      <c r="F94" s="2" t="s">
        <v>18</v>
      </c>
      <c r="G94" s="2" t="s">
        <v>19</v>
      </c>
      <c r="H94" s="3" t="s">
        <v>20</v>
      </c>
      <c r="I94" s="6">
        <v>42</v>
      </c>
      <c r="J94" s="6">
        <v>40</v>
      </c>
      <c r="K94" s="7">
        <v>0.93879656963027935</v>
      </c>
      <c r="L94" s="7">
        <v>0.97861068020321962</v>
      </c>
      <c r="M94" s="7">
        <v>0.92121703708059555</v>
      </c>
      <c r="N94" s="8">
        <v>22040</v>
      </c>
      <c r="O94" s="7">
        <f t="shared" si="3"/>
        <v>0.94668653280655279</v>
      </c>
    </row>
    <row r="95" spans="1:15">
      <c r="A95" s="3" t="s">
        <v>129</v>
      </c>
      <c r="B95" s="4">
        <v>45387</v>
      </c>
      <c r="C95" s="5">
        <f t="shared" si="2"/>
        <v>45383</v>
      </c>
      <c r="D95" s="3" t="s">
        <v>16</v>
      </c>
      <c r="E95" s="2" t="s">
        <v>17</v>
      </c>
      <c r="F95" s="2" t="s">
        <v>18</v>
      </c>
      <c r="G95" s="2" t="s">
        <v>19</v>
      </c>
      <c r="H95" s="3" t="s">
        <v>20</v>
      </c>
      <c r="I95" s="6">
        <v>29</v>
      </c>
      <c r="J95" s="6">
        <v>30</v>
      </c>
      <c r="K95" s="7">
        <v>0.94407775363738222</v>
      </c>
      <c r="L95" s="7">
        <v>0.96644640781054802</v>
      </c>
      <c r="M95" s="7">
        <v>0.98643435513043842</v>
      </c>
      <c r="N95" s="8">
        <v>16130</v>
      </c>
      <c r="O95" s="7">
        <f t="shared" si="3"/>
        <v>0.99206637405529141</v>
      </c>
    </row>
    <row r="96" spans="1:15">
      <c r="A96" s="3" t="s">
        <v>130</v>
      </c>
      <c r="B96" s="4">
        <v>45387</v>
      </c>
      <c r="C96" s="5">
        <f t="shared" si="2"/>
        <v>45383</v>
      </c>
      <c r="D96" s="3" t="s">
        <v>43</v>
      </c>
      <c r="E96" s="2" t="s">
        <v>44</v>
      </c>
      <c r="F96" s="2" t="s">
        <v>28</v>
      </c>
      <c r="G96" s="2" t="s">
        <v>29</v>
      </c>
      <c r="H96" s="3" t="s">
        <v>45</v>
      </c>
      <c r="I96" s="6">
        <v>52</v>
      </c>
      <c r="J96" s="6">
        <v>56</v>
      </c>
      <c r="K96" s="7">
        <v>0.93821699334199204</v>
      </c>
      <c r="L96" s="7">
        <v>0.96756761577287809</v>
      </c>
      <c r="M96" s="7">
        <v>0.92168704441419136</v>
      </c>
      <c r="N96" s="8">
        <v>22980</v>
      </c>
      <c r="O96" s="7">
        <f t="shared" si="3"/>
        <v>0.99479603035349884</v>
      </c>
    </row>
    <row r="97" spans="1:15">
      <c r="A97" s="3" t="s">
        <v>131</v>
      </c>
      <c r="B97" s="4">
        <v>45387</v>
      </c>
      <c r="C97" s="5">
        <f t="shared" si="2"/>
        <v>45383</v>
      </c>
      <c r="D97" s="3" t="s">
        <v>43</v>
      </c>
      <c r="E97" s="2" t="s">
        <v>44</v>
      </c>
      <c r="F97" s="2" t="s">
        <v>28</v>
      </c>
      <c r="G97" s="2" t="s">
        <v>29</v>
      </c>
      <c r="H97" s="3" t="s">
        <v>45</v>
      </c>
      <c r="I97" s="6">
        <v>47</v>
      </c>
      <c r="J97" s="6">
        <v>49</v>
      </c>
      <c r="K97" s="7">
        <v>0.94510988189559442</v>
      </c>
      <c r="L97" s="7">
        <v>0.98632461117642523</v>
      </c>
      <c r="M97" s="7">
        <v>0.89528937470562187</v>
      </c>
      <c r="N97" s="8">
        <v>22200</v>
      </c>
      <c r="O97" s="7">
        <f t="shared" si="3"/>
        <v>0.98030531368723139</v>
      </c>
    </row>
    <row r="98" spans="1:15">
      <c r="A98" s="3" t="s">
        <v>132</v>
      </c>
      <c r="B98" s="4">
        <v>45387</v>
      </c>
      <c r="C98" s="5">
        <f t="shared" si="2"/>
        <v>45383</v>
      </c>
      <c r="D98" s="3" t="s">
        <v>39</v>
      </c>
      <c r="E98" s="2" t="s">
        <v>40</v>
      </c>
      <c r="F98" s="2" t="s">
        <v>36</v>
      </c>
      <c r="G98" s="2" t="s">
        <v>37</v>
      </c>
      <c r="H98" s="3" t="s">
        <v>24</v>
      </c>
      <c r="I98" s="6">
        <v>51</v>
      </c>
      <c r="J98" s="6">
        <v>62</v>
      </c>
      <c r="K98" s="7">
        <v>0.95431025830917504</v>
      </c>
      <c r="L98" s="7">
        <v>0.96859675349228869</v>
      </c>
      <c r="M98" s="7">
        <v>0.92025608192917308</v>
      </c>
      <c r="N98" s="8">
        <v>32370</v>
      </c>
      <c r="O98" s="7">
        <f t="shared" si="3"/>
        <v>1.0479182939869716</v>
      </c>
    </row>
    <row r="99" spans="1:15">
      <c r="A99" s="3" t="s">
        <v>133</v>
      </c>
      <c r="B99" s="4">
        <v>45390</v>
      </c>
      <c r="C99" s="5">
        <f t="shared" si="2"/>
        <v>45383</v>
      </c>
      <c r="D99" s="3" t="s">
        <v>26</v>
      </c>
      <c r="E99" s="2" t="s">
        <v>27</v>
      </c>
      <c r="F99" s="2" t="s">
        <v>28</v>
      </c>
      <c r="G99" s="2" t="s">
        <v>29</v>
      </c>
      <c r="H99" s="3" t="s">
        <v>20</v>
      </c>
      <c r="I99" s="6">
        <v>42</v>
      </c>
      <c r="J99" s="6">
        <v>40</v>
      </c>
      <c r="K99" s="7">
        <v>0.88112428671729681</v>
      </c>
      <c r="L99" s="7">
        <v>0.93531470335100408</v>
      </c>
      <c r="M99" s="7">
        <v>0.91652302008822328</v>
      </c>
      <c r="N99" s="8">
        <v>17240</v>
      </c>
      <c r="O99" s="7">
        <f t="shared" si="3"/>
        <v>0.9248352621520004</v>
      </c>
    </row>
    <row r="100" spans="1:15">
      <c r="A100" s="3" t="s">
        <v>134</v>
      </c>
      <c r="B100" s="4">
        <v>45390</v>
      </c>
      <c r="C100" s="5">
        <f t="shared" si="2"/>
        <v>45383</v>
      </c>
      <c r="D100" s="3" t="s">
        <v>43</v>
      </c>
      <c r="E100" s="2" t="s">
        <v>44</v>
      </c>
      <c r="F100" s="2" t="s">
        <v>28</v>
      </c>
      <c r="G100" s="2" t="s">
        <v>29</v>
      </c>
      <c r="H100" s="3" t="s">
        <v>45</v>
      </c>
      <c r="I100" s="6">
        <v>45</v>
      </c>
      <c r="J100" s="6">
        <v>42</v>
      </c>
      <c r="K100" s="7">
        <v>0.92806689189672165</v>
      </c>
      <c r="L100" s="7">
        <v>1</v>
      </c>
      <c r="M100" s="7">
        <v>0.92264122180838448</v>
      </c>
      <c r="N100" s="8">
        <v>17080</v>
      </c>
      <c r="O100" s="7">
        <f t="shared" si="3"/>
        <v>0.93987830066919076</v>
      </c>
    </row>
    <row r="101" spans="1:15">
      <c r="A101" s="3" t="s">
        <v>135</v>
      </c>
      <c r="B101" s="4">
        <v>45391</v>
      </c>
      <c r="C101" s="5">
        <f t="shared" si="2"/>
        <v>45383</v>
      </c>
      <c r="D101" s="3" t="s">
        <v>22</v>
      </c>
      <c r="E101" s="2" t="s">
        <v>23</v>
      </c>
      <c r="F101" s="2" t="s">
        <v>18</v>
      </c>
      <c r="G101" s="2" t="s">
        <v>19</v>
      </c>
      <c r="H101" s="3" t="s">
        <v>24</v>
      </c>
      <c r="I101" s="6">
        <v>40</v>
      </c>
      <c r="J101" s="6">
        <v>35</v>
      </c>
      <c r="K101" s="7">
        <v>0.97309528324491379</v>
      </c>
      <c r="L101" s="7">
        <v>0.94394875798599676</v>
      </c>
      <c r="M101" s="7">
        <v>0.94084469816401051</v>
      </c>
      <c r="N101" s="8">
        <v>17660</v>
      </c>
      <c r="O101" s="7">
        <f t="shared" si="3"/>
        <v>0.92303507414193009</v>
      </c>
    </row>
    <row r="102" spans="1:15">
      <c r="A102" s="3" t="s">
        <v>136</v>
      </c>
      <c r="B102" s="4">
        <v>45391</v>
      </c>
      <c r="C102" s="5">
        <f t="shared" si="2"/>
        <v>45383</v>
      </c>
      <c r="D102" s="3" t="s">
        <v>22</v>
      </c>
      <c r="E102" s="2" t="s">
        <v>23</v>
      </c>
      <c r="F102" s="2" t="s">
        <v>18</v>
      </c>
      <c r="G102" s="2" t="s">
        <v>19</v>
      </c>
      <c r="H102" s="3" t="s">
        <v>24</v>
      </c>
      <c r="I102" s="6">
        <v>42</v>
      </c>
      <c r="J102" s="6">
        <v>38</v>
      </c>
      <c r="K102" s="7">
        <v>0.88995901121039733</v>
      </c>
      <c r="L102" s="7">
        <v>0.99055385642676974</v>
      </c>
      <c r="M102" s="7">
        <v>0.96947737472853046</v>
      </c>
      <c r="N102" s="8">
        <v>18820</v>
      </c>
      <c r="O102" s="7">
        <f t="shared" si="3"/>
        <v>0.92687306811708281</v>
      </c>
    </row>
    <row r="103" spans="1:15">
      <c r="A103" s="3" t="s">
        <v>137</v>
      </c>
      <c r="B103" s="4">
        <v>45391</v>
      </c>
      <c r="C103" s="5">
        <f t="shared" si="2"/>
        <v>45383</v>
      </c>
      <c r="D103" s="3" t="s">
        <v>39</v>
      </c>
      <c r="E103" s="2" t="s">
        <v>40</v>
      </c>
      <c r="F103" s="2" t="s">
        <v>36</v>
      </c>
      <c r="G103" s="2" t="s">
        <v>37</v>
      </c>
      <c r="H103" s="3" t="s">
        <v>24</v>
      </c>
      <c r="I103" s="6">
        <v>30</v>
      </c>
      <c r="J103" s="6">
        <v>31</v>
      </c>
      <c r="K103" s="7">
        <v>0.92095536090821661</v>
      </c>
      <c r="L103" s="7">
        <v>0.95405811330674961</v>
      </c>
      <c r="M103" s="7">
        <v>0.99334866642457131</v>
      </c>
      <c r="N103" s="8">
        <v>13860</v>
      </c>
      <c r="O103" s="7">
        <f t="shared" si="3"/>
        <v>0.98535062384131433</v>
      </c>
    </row>
    <row r="104" spans="1:15">
      <c r="A104" s="3" t="s">
        <v>138</v>
      </c>
      <c r="B104" s="4">
        <v>45392</v>
      </c>
      <c r="C104" s="5">
        <f t="shared" si="2"/>
        <v>45383</v>
      </c>
      <c r="D104" s="3" t="s">
        <v>43</v>
      </c>
      <c r="E104" s="2" t="s">
        <v>44</v>
      </c>
      <c r="F104" s="2" t="s">
        <v>28</v>
      </c>
      <c r="G104" s="2" t="s">
        <v>29</v>
      </c>
      <c r="H104" s="3" t="s">
        <v>45</v>
      </c>
      <c r="I104" s="6">
        <v>42</v>
      </c>
      <c r="J104" s="6">
        <v>43</v>
      </c>
      <c r="K104" s="7">
        <v>0.95082231968123387</v>
      </c>
      <c r="L104" s="7">
        <v>0.98053519270156742</v>
      </c>
      <c r="M104" s="7">
        <v>0.8785044820095721</v>
      </c>
      <c r="N104" s="8">
        <v>17700</v>
      </c>
      <c r="O104" s="7">
        <f t="shared" si="3"/>
        <v>0.97001056475126757</v>
      </c>
    </row>
    <row r="105" spans="1:15">
      <c r="A105" s="3" t="s">
        <v>139</v>
      </c>
      <c r="B105" s="4">
        <v>45393</v>
      </c>
      <c r="C105" s="5">
        <f t="shared" si="2"/>
        <v>45383</v>
      </c>
      <c r="D105" s="3" t="s">
        <v>43</v>
      </c>
      <c r="E105" s="2" t="s">
        <v>44</v>
      </c>
      <c r="F105" s="2" t="s">
        <v>28</v>
      </c>
      <c r="G105" s="2" t="s">
        <v>29</v>
      </c>
      <c r="H105" s="3" t="s">
        <v>45</v>
      </c>
      <c r="I105" s="6">
        <v>52</v>
      </c>
      <c r="J105" s="6">
        <v>56</v>
      </c>
      <c r="K105" s="7">
        <v>0.96712981396024189</v>
      </c>
      <c r="L105" s="7">
        <v>0.97438589272671439</v>
      </c>
      <c r="M105" s="7">
        <v>0.90665113602594094</v>
      </c>
      <c r="N105" s="8">
        <v>21620</v>
      </c>
      <c r="O105" s="7">
        <f t="shared" si="3"/>
        <v>1.0000397953734868</v>
      </c>
    </row>
    <row r="106" spans="1:15">
      <c r="A106" s="3" t="s">
        <v>140</v>
      </c>
      <c r="B106" s="4">
        <v>45394</v>
      </c>
      <c r="C106" s="5">
        <f t="shared" si="2"/>
        <v>45383</v>
      </c>
      <c r="D106" s="3" t="s">
        <v>16</v>
      </c>
      <c r="E106" s="2" t="s">
        <v>17</v>
      </c>
      <c r="F106" s="2" t="s">
        <v>18</v>
      </c>
      <c r="G106" s="2" t="s">
        <v>19</v>
      </c>
      <c r="H106" s="3" t="s">
        <v>20</v>
      </c>
      <c r="I106" s="6">
        <v>30</v>
      </c>
      <c r="J106" s="6">
        <v>30</v>
      </c>
      <c r="K106" s="7">
        <v>0.93356981988485599</v>
      </c>
      <c r="L106" s="7">
        <v>0.98122795480900704</v>
      </c>
      <c r="M106" s="7">
        <v>0.9484988984788022</v>
      </c>
      <c r="N106" s="8">
        <v>15280</v>
      </c>
      <c r="O106" s="7">
        <f t="shared" si="3"/>
        <v>0.97027642788832547</v>
      </c>
    </row>
    <row r="107" spans="1:15">
      <c r="A107" s="3" t="s">
        <v>141</v>
      </c>
      <c r="B107" s="4">
        <v>45394</v>
      </c>
      <c r="C107" s="5">
        <f t="shared" si="2"/>
        <v>45383</v>
      </c>
      <c r="D107" s="3" t="s">
        <v>16</v>
      </c>
      <c r="E107" s="2" t="s">
        <v>17</v>
      </c>
      <c r="F107" s="2" t="s">
        <v>18</v>
      </c>
      <c r="G107" s="2" t="s">
        <v>19</v>
      </c>
      <c r="H107" s="3" t="s">
        <v>20</v>
      </c>
      <c r="I107" s="6">
        <v>32</v>
      </c>
      <c r="J107" s="6">
        <v>35</v>
      </c>
      <c r="K107" s="7">
        <v>0.90716344983902941</v>
      </c>
      <c r="L107" s="7">
        <v>0.93548067169400051</v>
      </c>
      <c r="M107" s="7">
        <v>0.97621210282759396</v>
      </c>
      <c r="N107" s="8">
        <v>19080</v>
      </c>
      <c r="O107" s="7">
        <f t="shared" si="3"/>
        <v>0.99985538377937622</v>
      </c>
    </row>
    <row r="108" spans="1:15">
      <c r="A108" s="3" t="s">
        <v>142</v>
      </c>
      <c r="B108" s="4">
        <v>45394</v>
      </c>
      <c r="C108" s="5">
        <f t="shared" si="2"/>
        <v>45383</v>
      </c>
      <c r="D108" s="3" t="s">
        <v>16</v>
      </c>
      <c r="E108" s="2" t="s">
        <v>17</v>
      </c>
      <c r="F108" s="2" t="s">
        <v>18</v>
      </c>
      <c r="G108" s="2" t="s">
        <v>19</v>
      </c>
      <c r="H108" s="3" t="s">
        <v>20</v>
      </c>
      <c r="I108" s="6">
        <v>53</v>
      </c>
      <c r="J108" s="6">
        <v>61</v>
      </c>
      <c r="K108" s="7">
        <v>0.91234539645628043</v>
      </c>
      <c r="L108" s="7">
        <v>0.970552520985697</v>
      </c>
      <c r="M108" s="7">
        <v>0.92527960650941854</v>
      </c>
      <c r="N108" s="8">
        <v>34880</v>
      </c>
      <c r="O108" s="7">
        <f t="shared" si="3"/>
        <v>1.0191025070543744</v>
      </c>
    </row>
    <row r="109" spans="1:15">
      <c r="A109" s="3" t="s">
        <v>143</v>
      </c>
      <c r="B109" s="4">
        <v>45394</v>
      </c>
      <c r="C109" s="5">
        <f t="shared" si="2"/>
        <v>45383</v>
      </c>
      <c r="D109" s="3" t="s">
        <v>22</v>
      </c>
      <c r="E109" s="2" t="s">
        <v>23</v>
      </c>
      <c r="F109" s="2" t="s">
        <v>18</v>
      </c>
      <c r="G109" s="2" t="s">
        <v>19</v>
      </c>
      <c r="H109" s="3" t="s">
        <v>24</v>
      </c>
      <c r="I109" s="6">
        <v>51</v>
      </c>
      <c r="J109" s="6">
        <v>55</v>
      </c>
      <c r="K109" s="7">
        <v>0.88398349290956346</v>
      </c>
      <c r="L109" s="7">
        <v>0.93971432863122606</v>
      </c>
      <c r="M109" s="7">
        <v>0.995</v>
      </c>
      <c r="N109" s="8">
        <v>29920</v>
      </c>
      <c r="O109" s="7">
        <f t="shared" si="3"/>
        <v>0.99232557154168277</v>
      </c>
    </row>
    <row r="110" spans="1:15">
      <c r="A110" s="3" t="s">
        <v>144</v>
      </c>
      <c r="B110" s="4">
        <v>45394</v>
      </c>
      <c r="C110" s="5">
        <f t="shared" si="2"/>
        <v>45383</v>
      </c>
      <c r="D110" s="3" t="s">
        <v>22</v>
      </c>
      <c r="E110" s="2" t="s">
        <v>23</v>
      </c>
      <c r="F110" s="2" t="s">
        <v>18</v>
      </c>
      <c r="G110" s="2" t="s">
        <v>19</v>
      </c>
      <c r="H110" s="3" t="s">
        <v>24</v>
      </c>
      <c r="I110" s="6">
        <v>38</v>
      </c>
      <c r="J110" s="6">
        <v>35</v>
      </c>
      <c r="K110" s="7">
        <v>0.95852933521895289</v>
      </c>
      <c r="L110" s="7">
        <v>0.9654079544714097</v>
      </c>
      <c r="M110" s="7">
        <v>0.96946360683944499</v>
      </c>
      <c r="N110" s="8">
        <v>18280</v>
      </c>
      <c r="O110" s="7">
        <f t="shared" si="3"/>
        <v>0.94675730097491773</v>
      </c>
    </row>
    <row r="111" spans="1:15">
      <c r="A111" s="3" t="s">
        <v>145</v>
      </c>
      <c r="B111" s="4">
        <v>45394</v>
      </c>
      <c r="C111" s="5">
        <f t="shared" si="2"/>
        <v>45383</v>
      </c>
      <c r="D111" s="3" t="s">
        <v>43</v>
      </c>
      <c r="E111" s="2" t="s">
        <v>44</v>
      </c>
      <c r="F111" s="2" t="s">
        <v>28</v>
      </c>
      <c r="G111" s="2" t="s">
        <v>29</v>
      </c>
      <c r="H111" s="3" t="s">
        <v>45</v>
      </c>
      <c r="I111" s="6">
        <v>38</v>
      </c>
      <c r="J111" s="6">
        <v>40</v>
      </c>
      <c r="K111" s="7">
        <v>0.96335601667013226</v>
      </c>
      <c r="L111" s="7">
        <v>1</v>
      </c>
      <c r="M111" s="7">
        <v>0.97500037415487872</v>
      </c>
      <c r="N111" s="8">
        <v>18220</v>
      </c>
      <c r="O111" s="7">
        <f t="shared" si="3"/>
        <v>1.0068917105774562</v>
      </c>
    </row>
    <row r="112" spans="1:15">
      <c r="A112" s="3" t="s">
        <v>146</v>
      </c>
      <c r="B112" s="4">
        <v>45394</v>
      </c>
      <c r="C112" s="5">
        <f t="shared" si="2"/>
        <v>45383</v>
      </c>
      <c r="D112" s="3" t="s">
        <v>34</v>
      </c>
      <c r="E112" s="2" t="s">
        <v>35</v>
      </c>
      <c r="F112" s="2" t="s">
        <v>36</v>
      </c>
      <c r="G112" s="2" t="s">
        <v>37</v>
      </c>
      <c r="H112" s="3" t="s">
        <v>20</v>
      </c>
      <c r="I112" s="6">
        <v>51</v>
      </c>
      <c r="J112" s="6">
        <v>51</v>
      </c>
      <c r="K112" s="7">
        <v>0.94871513092143012</v>
      </c>
      <c r="L112" s="7">
        <v>0.94394805440735197</v>
      </c>
      <c r="M112" s="7">
        <v>0.95092286126530745</v>
      </c>
      <c r="N112" s="8">
        <v>21390</v>
      </c>
      <c r="O112" s="7">
        <f t="shared" si="3"/>
        <v>0.96895556314452191</v>
      </c>
    </row>
    <row r="113" spans="1:15">
      <c r="A113" s="3" t="s">
        <v>147</v>
      </c>
      <c r="B113" s="4">
        <v>45397</v>
      </c>
      <c r="C113" s="5">
        <f t="shared" si="2"/>
        <v>45383</v>
      </c>
      <c r="D113" s="3" t="s">
        <v>26</v>
      </c>
      <c r="E113" s="2" t="s">
        <v>27</v>
      </c>
      <c r="F113" s="2" t="s">
        <v>28</v>
      </c>
      <c r="G113" s="2" t="s">
        <v>29</v>
      </c>
      <c r="H113" s="3" t="s">
        <v>20</v>
      </c>
      <c r="I113" s="6">
        <v>40</v>
      </c>
      <c r="J113" s="6">
        <v>36</v>
      </c>
      <c r="K113" s="7">
        <v>0.90009154060045438</v>
      </c>
      <c r="L113" s="7">
        <v>0.95504987519960471</v>
      </c>
      <c r="M113" s="7">
        <v>0.89329414553344133</v>
      </c>
      <c r="N113" s="8">
        <v>16080</v>
      </c>
      <c r="O113" s="7">
        <f t="shared" si="3"/>
        <v>0.90693919553674263</v>
      </c>
    </row>
    <row r="114" spans="1:15">
      <c r="A114" s="3" t="s">
        <v>148</v>
      </c>
      <c r="B114" s="4">
        <v>45398</v>
      </c>
      <c r="C114" s="5">
        <f t="shared" si="2"/>
        <v>45383</v>
      </c>
      <c r="D114" s="3" t="s">
        <v>26</v>
      </c>
      <c r="E114" s="2" t="s">
        <v>27</v>
      </c>
      <c r="F114" s="2" t="s">
        <v>28</v>
      </c>
      <c r="G114" s="2" t="s">
        <v>29</v>
      </c>
      <c r="H114" s="3" t="s">
        <v>20</v>
      </c>
      <c r="I114" s="6">
        <v>43</v>
      </c>
      <c r="J114" s="6">
        <v>45</v>
      </c>
      <c r="K114" s="7">
        <v>0.93251149487530605</v>
      </c>
      <c r="L114" s="7">
        <v>0.95385482864244331</v>
      </c>
      <c r="M114" s="7">
        <v>0.96651791838540557</v>
      </c>
      <c r="N114" s="8">
        <v>16430</v>
      </c>
      <c r="O114" s="7">
        <f t="shared" si="3"/>
        <v>0.98811433285506489</v>
      </c>
    </row>
    <row r="115" spans="1:15">
      <c r="A115" s="3" t="s">
        <v>149</v>
      </c>
      <c r="B115" s="4">
        <v>45400</v>
      </c>
      <c r="C115" s="5">
        <f t="shared" si="2"/>
        <v>45383</v>
      </c>
      <c r="D115" s="3" t="s">
        <v>39</v>
      </c>
      <c r="E115" s="2" t="s">
        <v>40</v>
      </c>
      <c r="F115" s="2" t="s">
        <v>36</v>
      </c>
      <c r="G115" s="2" t="s">
        <v>37</v>
      </c>
      <c r="H115" s="3" t="s">
        <v>24</v>
      </c>
      <c r="I115" s="6">
        <v>43</v>
      </c>
      <c r="J115" s="6">
        <v>48</v>
      </c>
      <c r="K115" s="7">
        <v>0.97638317228135729</v>
      </c>
      <c r="L115" s="7">
        <v>0.97821350995153633</v>
      </c>
      <c r="M115" s="7">
        <v>0.995</v>
      </c>
      <c r="N115" s="8">
        <v>21440</v>
      </c>
      <c r="O115" s="7">
        <f t="shared" si="3"/>
        <v>1.0363394474700465</v>
      </c>
    </row>
    <row r="116" spans="1:15">
      <c r="A116" s="3" t="s">
        <v>150</v>
      </c>
      <c r="B116" s="4">
        <v>45401</v>
      </c>
      <c r="C116" s="5">
        <f t="shared" si="2"/>
        <v>45383</v>
      </c>
      <c r="D116" s="3" t="s">
        <v>16</v>
      </c>
      <c r="E116" s="2" t="s">
        <v>17</v>
      </c>
      <c r="F116" s="2" t="s">
        <v>18</v>
      </c>
      <c r="G116" s="2" t="s">
        <v>19</v>
      </c>
      <c r="H116" s="3" t="s">
        <v>20</v>
      </c>
      <c r="I116" s="6">
        <v>43</v>
      </c>
      <c r="J116" s="6">
        <v>46</v>
      </c>
      <c r="K116" s="7">
        <v>0.91424261711223653</v>
      </c>
      <c r="L116" s="7">
        <v>0.98279771459580201</v>
      </c>
      <c r="M116" s="7">
        <v>0.91591729570599134</v>
      </c>
      <c r="N116" s="8">
        <v>23930</v>
      </c>
      <c r="O116" s="7">
        <f t="shared" si="3"/>
        <v>0.98707074735281375</v>
      </c>
    </row>
    <row r="117" spans="1:15">
      <c r="A117" s="3" t="s">
        <v>151</v>
      </c>
      <c r="B117" s="4">
        <v>45401</v>
      </c>
      <c r="C117" s="5">
        <f t="shared" si="2"/>
        <v>45383</v>
      </c>
      <c r="D117" s="3" t="s">
        <v>16</v>
      </c>
      <c r="E117" s="2" t="s">
        <v>17</v>
      </c>
      <c r="F117" s="2" t="s">
        <v>18</v>
      </c>
      <c r="G117" s="2" t="s">
        <v>19</v>
      </c>
      <c r="H117" s="3" t="s">
        <v>20</v>
      </c>
      <c r="I117" s="6">
        <v>48</v>
      </c>
      <c r="J117" s="6">
        <v>51</v>
      </c>
      <c r="K117" s="7">
        <v>0.91380088005718252</v>
      </c>
      <c r="L117" s="7">
        <v>0.98451187203981438</v>
      </c>
      <c r="M117" s="7">
        <v>0.91086109007097971</v>
      </c>
      <c r="N117" s="8">
        <v>26850</v>
      </c>
      <c r="O117" s="7">
        <f t="shared" si="3"/>
        <v>0.9832992188344637</v>
      </c>
    </row>
    <row r="118" spans="1:15">
      <c r="A118" s="3" t="s">
        <v>152</v>
      </c>
      <c r="B118" s="4">
        <v>45401</v>
      </c>
      <c r="C118" s="5">
        <f t="shared" si="2"/>
        <v>45383</v>
      </c>
      <c r="D118" s="3" t="s">
        <v>43</v>
      </c>
      <c r="E118" s="2" t="s">
        <v>44</v>
      </c>
      <c r="F118" s="2" t="s">
        <v>28</v>
      </c>
      <c r="G118" s="2" t="s">
        <v>29</v>
      </c>
      <c r="H118" s="3" t="s">
        <v>45</v>
      </c>
      <c r="I118" s="6">
        <v>28</v>
      </c>
      <c r="J118" s="6">
        <v>29</v>
      </c>
      <c r="K118" s="7">
        <v>0.995</v>
      </c>
      <c r="L118" s="7">
        <v>0.94196614352012675</v>
      </c>
      <c r="M118" s="7">
        <v>0.96933471411029315</v>
      </c>
      <c r="N118" s="8">
        <v>12330</v>
      </c>
      <c r="O118" s="7">
        <f t="shared" si="3"/>
        <v>0.99819757863579206</v>
      </c>
    </row>
    <row r="119" spans="1:15">
      <c r="A119" s="3" t="s">
        <v>153</v>
      </c>
      <c r="B119" s="4">
        <v>45401</v>
      </c>
      <c r="C119" s="5">
        <f t="shared" si="2"/>
        <v>45383</v>
      </c>
      <c r="D119" s="3" t="s">
        <v>34</v>
      </c>
      <c r="E119" s="2" t="s">
        <v>35</v>
      </c>
      <c r="F119" s="2" t="s">
        <v>36</v>
      </c>
      <c r="G119" s="2" t="s">
        <v>37</v>
      </c>
      <c r="H119" s="3" t="s">
        <v>20</v>
      </c>
      <c r="I119" s="6">
        <v>32</v>
      </c>
      <c r="J119" s="6">
        <v>34</v>
      </c>
      <c r="K119" s="7">
        <v>0.96943467167815667</v>
      </c>
      <c r="L119" s="7">
        <v>0.94918532238719722</v>
      </c>
      <c r="M119" s="7">
        <v>0.92623621789750654</v>
      </c>
      <c r="N119" s="8">
        <v>16060</v>
      </c>
      <c r="O119" s="7">
        <f t="shared" si="3"/>
        <v>0.99498370985712004</v>
      </c>
    </row>
    <row r="120" spans="1:15">
      <c r="A120" s="3" t="s">
        <v>154</v>
      </c>
      <c r="B120" s="4">
        <v>45401</v>
      </c>
      <c r="C120" s="5">
        <f t="shared" si="2"/>
        <v>45383</v>
      </c>
      <c r="D120" s="3" t="s">
        <v>34</v>
      </c>
      <c r="E120" s="2" t="s">
        <v>35</v>
      </c>
      <c r="F120" s="2" t="s">
        <v>36</v>
      </c>
      <c r="G120" s="2" t="s">
        <v>37</v>
      </c>
      <c r="H120" s="3" t="s">
        <v>20</v>
      </c>
      <c r="I120" s="6">
        <v>49</v>
      </c>
      <c r="J120" s="6">
        <v>51</v>
      </c>
      <c r="K120" s="7">
        <v>0.89104627018123983</v>
      </c>
      <c r="L120" s="7">
        <v>0.94477645512511532</v>
      </c>
      <c r="M120" s="7">
        <v>0.96173972651119133</v>
      </c>
      <c r="N120" s="8">
        <v>24450</v>
      </c>
      <c r="O120" s="7">
        <f t="shared" si="3"/>
        <v>0.97315251172856043</v>
      </c>
    </row>
    <row r="121" spans="1:15">
      <c r="A121" s="3" t="s">
        <v>155</v>
      </c>
      <c r="B121" s="4">
        <v>45405</v>
      </c>
      <c r="C121" s="5">
        <f t="shared" si="2"/>
        <v>45383</v>
      </c>
      <c r="D121" s="3" t="s">
        <v>34</v>
      </c>
      <c r="E121" s="2" t="s">
        <v>35</v>
      </c>
      <c r="F121" s="2" t="s">
        <v>36</v>
      </c>
      <c r="G121" s="2" t="s">
        <v>37</v>
      </c>
      <c r="H121" s="3" t="s">
        <v>20</v>
      </c>
      <c r="I121" s="6">
        <v>40</v>
      </c>
      <c r="J121" s="6">
        <v>37</v>
      </c>
      <c r="K121" s="7">
        <v>0.95655154027998923</v>
      </c>
      <c r="L121" s="7">
        <v>0.95258020932620502</v>
      </c>
      <c r="M121" s="7">
        <v>0.95253319431531713</v>
      </c>
      <c r="N121" s="8">
        <v>17420</v>
      </c>
      <c r="O121" s="7">
        <f t="shared" si="3"/>
        <v>0.94253155533199151</v>
      </c>
    </row>
    <row r="122" spans="1:15">
      <c r="A122" s="3" t="s">
        <v>156</v>
      </c>
      <c r="B122" s="4">
        <v>45406</v>
      </c>
      <c r="C122" s="5">
        <f t="shared" si="2"/>
        <v>45383</v>
      </c>
      <c r="D122" s="3" t="s">
        <v>22</v>
      </c>
      <c r="E122" s="2" t="s">
        <v>23</v>
      </c>
      <c r="F122" s="2" t="s">
        <v>18</v>
      </c>
      <c r="G122" s="2" t="s">
        <v>19</v>
      </c>
      <c r="H122" s="3" t="s">
        <v>24</v>
      </c>
      <c r="I122" s="6">
        <v>30</v>
      </c>
      <c r="J122" s="6">
        <v>34</v>
      </c>
      <c r="K122" s="7">
        <v>0.90761835773384869</v>
      </c>
      <c r="L122" s="7">
        <v>0.9628895397595405</v>
      </c>
      <c r="M122" s="7">
        <v>0.95589172361393793</v>
      </c>
      <c r="N122" s="8">
        <v>18150</v>
      </c>
      <c r="O122" s="7">
        <f t="shared" si="3"/>
        <v>1.0158496984535144</v>
      </c>
    </row>
    <row r="123" spans="1:15">
      <c r="A123" s="3" t="s">
        <v>157</v>
      </c>
      <c r="B123" s="4">
        <v>45407</v>
      </c>
      <c r="C123" s="5">
        <f t="shared" si="2"/>
        <v>45383</v>
      </c>
      <c r="D123" s="3" t="s">
        <v>26</v>
      </c>
      <c r="E123" s="2" t="s">
        <v>27</v>
      </c>
      <c r="F123" s="2" t="s">
        <v>28</v>
      </c>
      <c r="G123" s="2" t="s">
        <v>29</v>
      </c>
      <c r="H123" s="3" t="s">
        <v>20</v>
      </c>
      <c r="I123" s="6">
        <v>32</v>
      </c>
      <c r="J123" s="6">
        <v>31</v>
      </c>
      <c r="K123" s="7">
        <v>0.89239168775999123</v>
      </c>
      <c r="L123" s="7">
        <v>0.95992175497872212</v>
      </c>
      <c r="M123" s="7">
        <v>0.88437279380728073</v>
      </c>
      <c r="N123" s="8">
        <v>12080</v>
      </c>
      <c r="O123" s="7">
        <f t="shared" si="3"/>
        <v>0.93146074394826228</v>
      </c>
    </row>
    <row r="124" spans="1:15">
      <c r="A124" s="3" t="s">
        <v>158</v>
      </c>
      <c r="B124" s="4">
        <v>45407</v>
      </c>
      <c r="C124" s="5">
        <f t="shared" si="2"/>
        <v>45383</v>
      </c>
      <c r="D124" s="3" t="s">
        <v>43</v>
      </c>
      <c r="E124" s="2" t="s">
        <v>44</v>
      </c>
      <c r="F124" s="2" t="s">
        <v>28</v>
      </c>
      <c r="G124" s="2" t="s">
        <v>29</v>
      </c>
      <c r="H124" s="3" t="s">
        <v>45</v>
      </c>
      <c r="I124" s="6">
        <v>35</v>
      </c>
      <c r="J124" s="6">
        <v>36</v>
      </c>
      <c r="K124" s="7">
        <v>0.93417355568917348</v>
      </c>
      <c r="L124" s="7">
        <v>0.98718012799613619</v>
      </c>
      <c r="M124" s="7">
        <v>0.93884372029309637</v>
      </c>
      <c r="N124" s="8">
        <v>13630</v>
      </c>
      <c r="O124" s="7">
        <f t="shared" si="3"/>
        <v>0.98081772360890451</v>
      </c>
    </row>
    <row r="125" spans="1:15">
      <c r="A125" s="3" t="s">
        <v>159</v>
      </c>
      <c r="B125" s="4">
        <v>45407</v>
      </c>
      <c r="C125" s="5">
        <f t="shared" si="2"/>
        <v>45383</v>
      </c>
      <c r="D125" s="3" t="s">
        <v>39</v>
      </c>
      <c r="E125" s="2" t="s">
        <v>40</v>
      </c>
      <c r="F125" s="2" t="s">
        <v>36</v>
      </c>
      <c r="G125" s="2" t="s">
        <v>37</v>
      </c>
      <c r="H125" s="3" t="s">
        <v>24</v>
      </c>
      <c r="I125" s="6">
        <v>41</v>
      </c>
      <c r="J125" s="6">
        <v>45</v>
      </c>
      <c r="K125" s="7">
        <v>0.9638837874597348</v>
      </c>
      <c r="L125" s="7">
        <v>0.97840391400464966</v>
      </c>
      <c r="M125" s="7">
        <v>0.96647840432535492</v>
      </c>
      <c r="N125" s="8">
        <v>23940</v>
      </c>
      <c r="O125" s="7">
        <f t="shared" si="3"/>
        <v>1.0200516050746047</v>
      </c>
    </row>
    <row r="126" spans="1:15">
      <c r="A126" s="3" t="s">
        <v>160</v>
      </c>
      <c r="B126" s="4">
        <v>45408</v>
      </c>
      <c r="C126" s="5">
        <f t="shared" si="2"/>
        <v>45383</v>
      </c>
      <c r="D126" s="3" t="s">
        <v>22</v>
      </c>
      <c r="E126" s="2" t="s">
        <v>23</v>
      </c>
      <c r="F126" s="2" t="s">
        <v>18</v>
      </c>
      <c r="G126" s="2" t="s">
        <v>19</v>
      </c>
      <c r="H126" s="3" t="s">
        <v>24</v>
      </c>
      <c r="I126" s="6">
        <v>29</v>
      </c>
      <c r="J126" s="6">
        <v>31</v>
      </c>
      <c r="K126" s="7">
        <v>0.94250864316107674</v>
      </c>
      <c r="L126" s="7">
        <v>0.95054617884252435</v>
      </c>
      <c r="M126" s="7">
        <v>0.99240100344696558</v>
      </c>
      <c r="N126" s="8">
        <v>18370</v>
      </c>
      <c r="O126" s="7">
        <f t="shared" si="3"/>
        <v>1.0042754952025925</v>
      </c>
    </row>
    <row r="127" spans="1:15">
      <c r="A127" s="3" t="s">
        <v>161</v>
      </c>
      <c r="B127" s="4">
        <v>45408</v>
      </c>
      <c r="C127" s="5">
        <f t="shared" si="2"/>
        <v>45383</v>
      </c>
      <c r="D127" s="3" t="s">
        <v>34</v>
      </c>
      <c r="E127" s="2" t="s">
        <v>35</v>
      </c>
      <c r="F127" s="2" t="s">
        <v>36</v>
      </c>
      <c r="G127" s="2" t="s">
        <v>37</v>
      </c>
      <c r="H127" s="3" t="s">
        <v>20</v>
      </c>
      <c r="I127" s="6">
        <v>36</v>
      </c>
      <c r="J127" s="6">
        <v>39</v>
      </c>
      <c r="K127" s="7">
        <v>0.98832368465372744</v>
      </c>
      <c r="L127" s="7">
        <v>0.95916337617623104</v>
      </c>
      <c r="M127" s="7">
        <v>0.95287310511965839</v>
      </c>
      <c r="N127" s="8">
        <v>17830</v>
      </c>
      <c r="O127" s="7">
        <f t="shared" si="3"/>
        <v>1.0148633819471315</v>
      </c>
    </row>
    <row r="128" spans="1:15">
      <c r="A128" s="3" t="s">
        <v>162</v>
      </c>
      <c r="B128" s="4">
        <v>45408</v>
      </c>
      <c r="C128" s="5">
        <f t="shared" si="2"/>
        <v>45383</v>
      </c>
      <c r="D128" s="3" t="s">
        <v>39</v>
      </c>
      <c r="E128" s="2" t="s">
        <v>40</v>
      </c>
      <c r="F128" s="2" t="s">
        <v>36</v>
      </c>
      <c r="G128" s="2" t="s">
        <v>37</v>
      </c>
      <c r="H128" s="3" t="s">
        <v>24</v>
      </c>
      <c r="I128" s="6">
        <v>31</v>
      </c>
      <c r="J128" s="6">
        <v>35</v>
      </c>
      <c r="K128" s="7">
        <v>0.99150314498597358</v>
      </c>
      <c r="L128" s="7">
        <v>0.96673902008112234</v>
      </c>
      <c r="M128" s="7">
        <v>0.986742757936102</v>
      </c>
      <c r="N128" s="8">
        <v>19050</v>
      </c>
      <c r="O128" s="7">
        <f t="shared" si="3"/>
        <v>1.0418480940716885</v>
      </c>
    </row>
    <row r="129" spans="1:15">
      <c r="A129" s="3" t="s">
        <v>163</v>
      </c>
      <c r="B129" s="4">
        <v>45412</v>
      </c>
      <c r="C129" s="5">
        <f t="shared" si="2"/>
        <v>45383</v>
      </c>
      <c r="D129" s="3" t="s">
        <v>16</v>
      </c>
      <c r="E129" s="2" t="s">
        <v>17</v>
      </c>
      <c r="F129" s="2" t="s">
        <v>18</v>
      </c>
      <c r="G129" s="2" t="s">
        <v>19</v>
      </c>
      <c r="H129" s="3" t="s">
        <v>20</v>
      </c>
      <c r="I129" s="6">
        <v>36</v>
      </c>
      <c r="J129" s="6">
        <v>41</v>
      </c>
      <c r="K129" s="7">
        <v>0.95673923777291392</v>
      </c>
      <c r="L129" s="7">
        <v>0.99502490266473731</v>
      </c>
      <c r="M129" s="7">
        <v>0.93360942294248739</v>
      </c>
      <c r="N129" s="8">
        <v>23740</v>
      </c>
      <c r="O129" s="7">
        <f t="shared" si="3"/>
        <v>1.030715984986992</v>
      </c>
    </row>
    <row r="130" spans="1:15">
      <c r="A130" s="3" t="s">
        <v>164</v>
      </c>
      <c r="B130" s="4">
        <v>45412</v>
      </c>
      <c r="C130" s="5">
        <f t="shared" ref="C130:C193" si="4">DATE(YEAR(B130),MONTH(B130),1)</f>
        <v>45383</v>
      </c>
      <c r="D130" s="3" t="s">
        <v>39</v>
      </c>
      <c r="E130" s="2" t="s">
        <v>40</v>
      </c>
      <c r="F130" s="2" t="s">
        <v>36</v>
      </c>
      <c r="G130" s="2" t="s">
        <v>37</v>
      </c>
      <c r="H130" s="3" t="s">
        <v>24</v>
      </c>
      <c r="I130" s="6">
        <v>44</v>
      </c>
      <c r="J130" s="6">
        <v>53</v>
      </c>
      <c r="K130" s="7">
        <v>0.95557062795529879</v>
      </c>
      <c r="L130" s="7">
        <v>1</v>
      </c>
      <c r="M130" s="7">
        <v>0.90968330633597283</v>
      </c>
      <c r="N130" s="8">
        <v>25710</v>
      </c>
      <c r="O130" s="7">
        <f t="shared" ref="O130:O193" si="5">MIN(J130/I130,1.2)*40%+K130*25%+L130*15%+M130*20%</f>
        <v>1.0508293182560193</v>
      </c>
    </row>
    <row r="131" spans="1:15">
      <c r="A131" s="3" t="s">
        <v>165</v>
      </c>
      <c r="B131" s="4">
        <v>45413</v>
      </c>
      <c r="C131" s="5">
        <f t="shared" si="4"/>
        <v>45413</v>
      </c>
      <c r="D131" s="3" t="s">
        <v>16</v>
      </c>
      <c r="E131" s="2" t="s">
        <v>17</v>
      </c>
      <c r="F131" s="2" t="s">
        <v>18</v>
      </c>
      <c r="G131" s="2" t="s">
        <v>19</v>
      </c>
      <c r="H131" s="3" t="s">
        <v>20</v>
      </c>
      <c r="I131" s="6">
        <v>45</v>
      </c>
      <c r="J131" s="6">
        <v>54</v>
      </c>
      <c r="K131" s="7">
        <v>0.94210052515433951</v>
      </c>
      <c r="L131" s="7">
        <v>0.99747641997271674</v>
      </c>
      <c r="M131" s="7">
        <v>0.94729586801339016</v>
      </c>
      <c r="N131" s="8">
        <v>27340</v>
      </c>
      <c r="O131" s="7">
        <f t="shared" si="5"/>
        <v>1.0546057678871703</v>
      </c>
    </row>
    <row r="132" spans="1:15">
      <c r="A132" s="3" t="s">
        <v>166</v>
      </c>
      <c r="B132" s="4">
        <v>45415</v>
      </c>
      <c r="C132" s="5">
        <f t="shared" si="4"/>
        <v>45413</v>
      </c>
      <c r="D132" s="3" t="s">
        <v>16</v>
      </c>
      <c r="E132" s="2" t="s">
        <v>17</v>
      </c>
      <c r="F132" s="2" t="s">
        <v>18</v>
      </c>
      <c r="G132" s="2" t="s">
        <v>19</v>
      </c>
      <c r="H132" s="3" t="s">
        <v>20</v>
      </c>
      <c r="I132" s="6">
        <v>28</v>
      </c>
      <c r="J132" s="6">
        <v>33</v>
      </c>
      <c r="K132" s="7">
        <v>0.93487983788633822</v>
      </c>
      <c r="L132" s="7">
        <v>0.97071027454156922</v>
      </c>
      <c r="M132" s="7">
        <v>0.94581960195345083</v>
      </c>
      <c r="N132" s="8">
        <v>19240</v>
      </c>
      <c r="O132" s="7">
        <f t="shared" si="5"/>
        <v>1.0399189924720815</v>
      </c>
    </row>
    <row r="133" spans="1:15">
      <c r="A133" s="3" t="s">
        <v>167</v>
      </c>
      <c r="B133" s="4">
        <v>45415</v>
      </c>
      <c r="C133" s="5">
        <f t="shared" si="4"/>
        <v>45413</v>
      </c>
      <c r="D133" s="3" t="s">
        <v>16</v>
      </c>
      <c r="E133" s="2" t="s">
        <v>17</v>
      </c>
      <c r="F133" s="2" t="s">
        <v>18</v>
      </c>
      <c r="G133" s="2" t="s">
        <v>19</v>
      </c>
      <c r="H133" s="3" t="s">
        <v>20</v>
      </c>
      <c r="I133" s="6">
        <v>50</v>
      </c>
      <c r="J133" s="6">
        <v>51</v>
      </c>
      <c r="K133" s="7">
        <v>0.93814684054891273</v>
      </c>
      <c r="L133" s="7">
        <v>0.99691635065326578</v>
      </c>
      <c r="M133" s="7">
        <v>0.93213763099475622</v>
      </c>
      <c r="N133" s="8">
        <v>28410</v>
      </c>
      <c r="O133" s="7">
        <f t="shared" si="5"/>
        <v>0.97850168893416933</v>
      </c>
    </row>
    <row r="134" spans="1:15">
      <c r="A134" s="3" t="s">
        <v>168</v>
      </c>
      <c r="B134" s="4">
        <v>45415</v>
      </c>
      <c r="C134" s="5">
        <f t="shared" si="4"/>
        <v>45413</v>
      </c>
      <c r="D134" s="3" t="s">
        <v>22</v>
      </c>
      <c r="E134" s="2" t="s">
        <v>23</v>
      </c>
      <c r="F134" s="2" t="s">
        <v>18</v>
      </c>
      <c r="G134" s="2" t="s">
        <v>19</v>
      </c>
      <c r="H134" s="3" t="s">
        <v>24</v>
      </c>
      <c r="I134" s="6">
        <v>41</v>
      </c>
      <c r="J134" s="6">
        <v>39</v>
      </c>
      <c r="K134" s="7">
        <v>0.95005891755953997</v>
      </c>
      <c r="L134" s="7">
        <v>0.96006470686873546</v>
      </c>
      <c r="M134" s="7">
        <v>0.89565489208306204</v>
      </c>
      <c r="N134" s="8">
        <v>22950</v>
      </c>
      <c r="O134" s="7">
        <f t="shared" si="5"/>
        <v>0.94114321871485651</v>
      </c>
    </row>
    <row r="135" spans="1:15">
      <c r="A135" s="3" t="s">
        <v>169</v>
      </c>
      <c r="B135" s="4">
        <v>45415</v>
      </c>
      <c r="C135" s="5">
        <f t="shared" si="4"/>
        <v>45413</v>
      </c>
      <c r="D135" s="3" t="s">
        <v>22</v>
      </c>
      <c r="E135" s="2" t="s">
        <v>23</v>
      </c>
      <c r="F135" s="2" t="s">
        <v>18</v>
      </c>
      <c r="G135" s="2" t="s">
        <v>19</v>
      </c>
      <c r="H135" s="3" t="s">
        <v>24</v>
      </c>
      <c r="I135" s="6">
        <v>50</v>
      </c>
      <c r="J135" s="6">
        <v>53</v>
      </c>
      <c r="K135" s="7">
        <v>0.90336515714460086</v>
      </c>
      <c r="L135" s="7">
        <v>0.94941579747594884</v>
      </c>
      <c r="M135" s="7">
        <v>0.95955723739002152</v>
      </c>
      <c r="N135" s="8">
        <v>27030</v>
      </c>
      <c r="O135" s="7">
        <f t="shared" si="5"/>
        <v>0.98416510638554699</v>
      </c>
    </row>
    <row r="136" spans="1:15">
      <c r="A136" s="3" t="s">
        <v>170</v>
      </c>
      <c r="B136" s="4">
        <v>45415</v>
      </c>
      <c r="C136" s="5">
        <f t="shared" si="4"/>
        <v>45413</v>
      </c>
      <c r="D136" s="3" t="s">
        <v>26</v>
      </c>
      <c r="E136" s="2" t="s">
        <v>27</v>
      </c>
      <c r="F136" s="2" t="s">
        <v>28</v>
      </c>
      <c r="G136" s="2" t="s">
        <v>29</v>
      </c>
      <c r="H136" s="3" t="s">
        <v>20</v>
      </c>
      <c r="I136" s="6">
        <v>36</v>
      </c>
      <c r="J136" s="6">
        <v>32</v>
      </c>
      <c r="K136" s="7">
        <v>0.90311065024307802</v>
      </c>
      <c r="L136" s="7">
        <v>0.94623497152874503</v>
      </c>
      <c r="M136" s="7">
        <v>0.89678956517447961</v>
      </c>
      <c r="N136" s="8">
        <v>13340</v>
      </c>
      <c r="O136" s="7">
        <f t="shared" si="5"/>
        <v>0.90262637688053271</v>
      </c>
    </row>
    <row r="137" spans="1:15">
      <c r="A137" s="3" t="s">
        <v>171</v>
      </c>
      <c r="B137" s="4">
        <v>45415</v>
      </c>
      <c r="C137" s="5">
        <f t="shared" si="4"/>
        <v>45413</v>
      </c>
      <c r="D137" s="3" t="s">
        <v>34</v>
      </c>
      <c r="E137" s="2" t="s">
        <v>35</v>
      </c>
      <c r="F137" s="2" t="s">
        <v>36</v>
      </c>
      <c r="G137" s="2" t="s">
        <v>37</v>
      </c>
      <c r="H137" s="3" t="s">
        <v>20</v>
      </c>
      <c r="I137" s="6">
        <v>50</v>
      </c>
      <c r="J137" s="6">
        <v>51</v>
      </c>
      <c r="K137" s="7">
        <v>0.92784689711695634</v>
      </c>
      <c r="L137" s="7">
        <v>0.94616682024956433</v>
      </c>
      <c r="M137" s="7">
        <v>0.92397034257541055</v>
      </c>
      <c r="N137" s="8">
        <v>25210</v>
      </c>
      <c r="O137" s="7">
        <f t="shared" si="5"/>
        <v>0.96668081583175591</v>
      </c>
    </row>
    <row r="138" spans="1:15">
      <c r="A138" s="3" t="s">
        <v>172</v>
      </c>
      <c r="B138" s="4">
        <v>45418</v>
      </c>
      <c r="C138" s="5">
        <f t="shared" si="4"/>
        <v>45413</v>
      </c>
      <c r="D138" s="3" t="s">
        <v>16</v>
      </c>
      <c r="E138" s="2" t="s">
        <v>17</v>
      </c>
      <c r="F138" s="2" t="s">
        <v>18</v>
      </c>
      <c r="G138" s="2" t="s">
        <v>19</v>
      </c>
      <c r="H138" s="3" t="s">
        <v>20</v>
      </c>
      <c r="I138" s="6">
        <v>49</v>
      </c>
      <c r="J138" s="6">
        <v>57</v>
      </c>
      <c r="K138" s="7">
        <v>0.94525359651382412</v>
      </c>
      <c r="L138" s="7">
        <v>0.96065282458125101</v>
      </c>
      <c r="M138" s="7">
        <v>0.92059416787783854</v>
      </c>
      <c r="N138" s="8">
        <v>36070</v>
      </c>
      <c r="O138" s="7">
        <f t="shared" si="5"/>
        <v>1.0298362788401911</v>
      </c>
    </row>
    <row r="139" spans="1:15">
      <c r="A139" s="3" t="s">
        <v>173</v>
      </c>
      <c r="B139" s="4">
        <v>45420</v>
      </c>
      <c r="C139" s="5">
        <f t="shared" si="4"/>
        <v>45413</v>
      </c>
      <c r="D139" s="3" t="s">
        <v>39</v>
      </c>
      <c r="E139" s="2" t="s">
        <v>40</v>
      </c>
      <c r="F139" s="2" t="s">
        <v>36</v>
      </c>
      <c r="G139" s="2" t="s">
        <v>37</v>
      </c>
      <c r="H139" s="3" t="s">
        <v>24</v>
      </c>
      <c r="I139" s="6">
        <v>53</v>
      </c>
      <c r="J139" s="6">
        <v>57</v>
      </c>
      <c r="K139" s="7">
        <v>0.95693725385463646</v>
      </c>
      <c r="L139" s="7">
        <v>0.98116627458680894</v>
      </c>
      <c r="M139" s="7">
        <v>0.95168645677173136</v>
      </c>
      <c r="N139" s="8">
        <v>25510</v>
      </c>
      <c r="O139" s="7">
        <f t="shared" si="5"/>
        <v>1.0069352252513097</v>
      </c>
    </row>
    <row r="140" spans="1:15">
      <c r="A140" s="3" t="s">
        <v>174</v>
      </c>
      <c r="B140" s="4">
        <v>45421</v>
      </c>
      <c r="C140" s="5">
        <f t="shared" si="4"/>
        <v>45413</v>
      </c>
      <c r="D140" s="3" t="s">
        <v>22</v>
      </c>
      <c r="E140" s="2" t="s">
        <v>23</v>
      </c>
      <c r="F140" s="2" t="s">
        <v>18</v>
      </c>
      <c r="G140" s="2" t="s">
        <v>19</v>
      </c>
      <c r="H140" s="3" t="s">
        <v>24</v>
      </c>
      <c r="I140" s="6">
        <v>36</v>
      </c>
      <c r="J140" s="6">
        <v>34</v>
      </c>
      <c r="K140" s="7">
        <v>0.89730688287018179</v>
      </c>
      <c r="L140" s="7">
        <v>0.95584766341692518</v>
      </c>
      <c r="M140" s="7">
        <v>0.92430349686377267</v>
      </c>
      <c r="N140" s="8">
        <v>19260</v>
      </c>
      <c r="O140" s="7">
        <f t="shared" si="5"/>
        <v>0.9303423473806165</v>
      </c>
    </row>
    <row r="141" spans="1:15">
      <c r="A141" s="3" t="s">
        <v>175</v>
      </c>
      <c r="B141" s="4">
        <v>45422</v>
      </c>
      <c r="C141" s="5">
        <f t="shared" si="4"/>
        <v>45413</v>
      </c>
      <c r="D141" s="3" t="s">
        <v>43</v>
      </c>
      <c r="E141" s="2" t="s">
        <v>44</v>
      </c>
      <c r="F141" s="2" t="s">
        <v>28</v>
      </c>
      <c r="G141" s="2" t="s">
        <v>29</v>
      </c>
      <c r="H141" s="3" t="s">
        <v>45</v>
      </c>
      <c r="I141" s="6">
        <v>51</v>
      </c>
      <c r="J141" s="6">
        <v>53</v>
      </c>
      <c r="K141" s="7">
        <v>0.995</v>
      </c>
      <c r="L141" s="7">
        <v>0.98092807578097796</v>
      </c>
      <c r="M141" s="7">
        <v>0.90288657224629543</v>
      </c>
      <c r="N141" s="8">
        <v>23560</v>
      </c>
      <c r="O141" s="7">
        <f t="shared" si="5"/>
        <v>0.99215280032620978</v>
      </c>
    </row>
    <row r="142" spans="1:15">
      <c r="A142" s="3" t="s">
        <v>176</v>
      </c>
      <c r="B142" s="4">
        <v>45422</v>
      </c>
      <c r="C142" s="5">
        <f t="shared" si="4"/>
        <v>45413</v>
      </c>
      <c r="D142" s="3" t="s">
        <v>39</v>
      </c>
      <c r="E142" s="2" t="s">
        <v>40</v>
      </c>
      <c r="F142" s="2" t="s">
        <v>36</v>
      </c>
      <c r="G142" s="2" t="s">
        <v>37</v>
      </c>
      <c r="H142" s="3" t="s">
        <v>24</v>
      </c>
      <c r="I142" s="6">
        <v>47</v>
      </c>
      <c r="J142" s="6">
        <v>49</v>
      </c>
      <c r="K142" s="7">
        <v>0.97138218290261613</v>
      </c>
      <c r="L142" s="7">
        <v>0.96149905854131301</v>
      </c>
      <c r="M142" s="7">
        <v>0.98326698328075157</v>
      </c>
      <c r="N142" s="8">
        <v>20630</v>
      </c>
      <c r="O142" s="7">
        <f t="shared" si="5"/>
        <v>1.0007450777587461</v>
      </c>
    </row>
    <row r="143" spans="1:15">
      <c r="A143" s="3" t="s">
        <v>177</v>
      </c>
      <c r="B143" s="4">
        <v>45425</v>
      </c>
      <c r="C143" s="5">
        <f t="shared" si="4"/>
        <v>45413</v>
      </c>
      <c r="D143" s="3" t="s">
        <v>16</v>
      </c>
      <c r="E143" s="2" t="s">
        <v>17</v>
      </c>
      <c r="F143" s="2" t="s">
        <v>18</v>
      </c>
      <c r="G143" s="2" t="s">
        <v>19</v>
      </c>
      <c r="H143" s="3" t="s">
        <v>20</v>
      </c>
      <c r="I143" s="6">
        <v>48</v>
      </c>
      <c r="J143" s="6">
        <v>54</v>
      </c>
      <c r="K143" s="7">
        <v>0.93880450968386142</v>
      </c>
      <c r="L143" s="7">
        <v>0.94370718764865391</v>
      </c>
      <c r="M143" s="7">
        <v>0.94509131132080604</v>
      </c>
      <c r="N143" s="8">
        <v>31590</v>
      </c>
      <c r="O143" s="7">
        <f t="shared" si="5"/>
        <v>1.0152754678324247</v>
      </c>
    </row>
    <row r="144" spans="1:15">
      <c r="A144" s="3" t="s">
        <v>178</v>
      </c>
      <c r="B144" s="4">
        <v>45427</v>
      </c>
      <c r="C144" s="5">
        <f t="shared" si="4"/>
        <v>45413</v>
      </c>
      <c r="D144" s="3" t="s">
        <v>26</v>
      </c>
      <c r="E144" s="2" t="s">
        <v>27</v>
      </c>
      <c r="F144" s="2" t="s">
        <v>28</v>
      </c>
      <c r="G144" s="2" t="s">
        <v>29</v>
      </c>
      <c r="H144" s="3" t="s">
        <v>20</v>
      </c>
      <c r="I144" s="6">
        <v>43</v>
      </c>
      <c r="J144" s="6">
        <v>44</v>
      </c>
      <c r="K144" s="7">
        <v>0.91127125361289774</v>
      </c>
      <c r="L144" s="7">
        <v>0.94899104295705028</v>
      </c>
      <c r="M144" s="7">
        <v>0.87753956371781949</v>
      </c>
      <c r="N144" s="8">
        <v>16710</v>
      </c>
      <c r="O144" s="7">
        <f t="shared" si="5"/>
        <v>0.9549767081717413</v>
      </c>
    </row>
    <row r="145" spans="1:15">
      <c r="A145" s="3" t="s">
        <v>179</v>
      </c>
      <c r="B145" s="4">
        <v>45428</v>
      </c>
      <c r="C145" s="5">
        <f t="shared" si="4"/>
        <v>45413</v>
      </c>
      <c r="D145" s="3" t="s">
        <v>26</v>
      </c>
      <c r="E145" s="2" t="s">
        <v>27</v>
      </c>
      <c r="F145" s="2" t="s">
        <v>28</v>
      </c>
      <c r="G145" s="2" t="s">
        <v>29</v>
      </c>
      <c r="H145" s="3" t="s">
        <v>20</v>
      </c>
      <c r="I145" s="6">
        <v>29</v>
      </c>
      <c r="J145" s="6">
        <v>27</v>
      </c>
      <c r="K145" s="7">
        <v>0.91889279624731501</v>
      </c>
      <c r="L145" s="7">
        <v>0.9288490162156634</v>
      </c>
      <c r="M145" s="7">
        <v>0.85024779306569354</v>
      </c>
      <c r="N145" s="8">
        <v>11330</v>
      </c>
      <c r="O145" s="7">
        <f t="shared" si="5"/>
        <v>0.91151390321076531</v>
      </c>
    </row>
    <row r="146" spans="1:15">
      <c r="A146" s="3" t="s">
        <v>180</v>
      </c>
      <c r="B146" s="4">
        <v>45429</v>
      </c>
      <c r="C146" s="5">
        <f t="shared" si="4"/>
        <v>45413</v>
      </c>
      <c r="D146" s="3" t="s">
        <v>43</v>
      </c>
      <c r="E146" s="2" t="s">
        <v>44</v>
      </c>
      <c r="F146" s="2" t="s">
        <v>28</v>
      </c>
      <c r="G146" s="2" t="s">
        <v>29</v>
      </c>
      <c r="H146" s="3" t="s">
        <v>45</v>
      </c>
      <c r="I146" s="6">
        <v>50</v>
      </c>
      <c r="J146" s="6">
        <v>48</v>
      </c>
      <c r="K146" s="7">
        <v>0.94253727299499124</v>
      </c>
      <c r="L146" s="7">
        <v>0.95118363090395119</v>
      </c>
      <c r="M146" s="7">
        <v>0.93210460154170971</v>
      </c>
      <c r="N146" s="8">
        <v>22270</v>
      </c>
      <c r="O146" s="7">
        <f t="shared" si="5"/>
        <v>0.94873278319268239</v>
      </c>
    </row>
    <row r="147" spans="1:15">
      <c r="A147" s="3" t="s">
        <v>181</v>
      </c>
      <c r="B147" s="4">
        <v>45429</v>
      </c>
      <c r="C147" s="5">
        <f t="shared" si="4"/>
        <v>45413</v>
      </c>
      <c r="D147" s="3" t="s">
        <v>34</v>
      </c>
      <c r="E147" s="2" t="s">
        <v>35</v>
      </c>
      <c r="F147" s="2" t="s">
        <v>36</v>
      </c>
      <c r="G147" s="2" t="s">
        <v>37</v>
      </c>
      <c r="H147" s="3" t="s">
        <v>20</v>
      </c>
      <c r="I147" s="6">
        <v>55</v>
      </c>
      <c r="J147" s="6">
        <v>61</v>
      </c>
      <c r="K147" s="7">
        <v>0.94897949831928397</v>
      </c>
      <c r="L147" s="7">
        <v>0.97000695218132571</v>
      </c>
      <c r="M147" s="7">
        <v>0.92050043623231748</v>
      </c>
      <c r="N147" s="8">
        <v>30410</v>
      </c>
      <c r="O147" s="7">
        <f t="shared" si="5"/>
        <v>1.0104823682898469</v>
      </c>
    </row>
    <row r="148" spans="1:15">
      <c r="A148" s="3" t="s">
        <v>182</v>
      </c>
      <c r="B148" s="4">
        <v>45429</v>
      </c>
      <c r="C148" s="5">
        <f t="shared" si="4"/>
        <v>45413</v>
      </c>
      <c r="D148" s="3" t="s">
        <v>39</v>
      </c>
      <c r="E148" s="2" t="s">
        <v>40</v>
      </c>
      <c r="F148" s="2" t="s">
        <v>36</v>
      </c>
      <c r="G148" s="2" t="s">
        <v>37</v>
      </c>
      <c r="H148" s="3" t="s">
        <v>24</v>
      </c>
      <c r="I148" s="6">
        <v>55</v>
      </c>
      <c r="J148" s="6">
        <v>60</v>
      </c>
      <c r="K148" s="7">
        <v>0.96261802756379711</v>
      </c>
      <c r="L148" s="7">
        <v>0.97099845947910735</v>
      </c>
      <c r="M148" s="7">
        <v>0.98282334435032925</v>
      </c>
      <c r="N148" s="8">
        <v>27730</v>
      </c>
      <c r="O148" s="7">
        <f t="shared" si="5"/>
        <v>1.0192325810465177</v>
      </c>
    </row>
    <row r="149" spans="1:15">
      <c r="A149" s="3" t="s">
        <v>183</v>
      </c>
      <c r="B149" s="4">
        <v>45432</v>
      </c>
      <c r="C149" s="5">
        <f t="shared" si="4"/>
        <v>45413</v>
      </c>
      <c r="D149" s="3" t="s">
        <v>16</v>
      </c>
      <c r="E149" s="2" t="s">
        <v>17</v>
      </c>
      <c r="F149" s="2" t="s">
        <v>18</v>
      </c>
      <c r="G149" s="2" t="s">
        <v>19</v>
      </c>
      <c r="H149" s="3" t="s">
        <v>20</v>
      </c>
      <c r="I149" s="6">
        <v>32</v>
      </c>
      <c r="J149" s="6">
        <v>39</v>
      </c>
      <c r="K149" s="7">
        <v>0.9631963807949826</v>
      </c>
      <c r="L149" s="7">
        <v>0.99486792079756747</v>
      </c>
      <c r="M149" s="7">
        <v>0.95751204756038566</v>
      </c>
      <c r="N149" s="8">
        <v>24520</v>
      </c>
      <c r="O149" s="7">
        <f t="shared" si="5"/>
        <v>1.0615316928304579</v>
      </c>
    </row>
    <row r="150" spans="1:15">
      <c r="A150" s="3" t="s">
        <v>184</v>
      </c>
      <c r="B150" s="4">
        <v>45432</v>
      </c>
      <c r="C150" s="5">
        <f t="shared" si="4"/>
        <v>45413</v>
      </c>
      <c r="D150" s="3" t="s">
        <v>22</v>
      </c>
      <c r="E150" s="2" t="s">
        <v>23</v>
      </c>
      <c r="F150" s="2" t="s">
        <v>18</v>
      </c>
      <c r="G150" s="2" t="s">
        <v>19</v>
      </c>
      <c r="H150" s="3" t="s">
        <v>24</v>
      </c>
      <c r="I150" s="6">
        <v>33</v>
      </c>
      <c r="J150" s="6">
        <v>34</v>
      </c>
      <c r="K150" s="7">
        <v>0.92671629918115439</v>
      </c>
      <c r="L150" s="7">
        <v>0.96028561813306001</v>
      </c>
      <c r="M150" s="7">
        <v>0.94532311614655373</v>
      </c>
      <c r="N150" s="8">
        <v>17690</v>
      </c>
      <c r="O150" s="7">
        <f t="shared" si="5"/>
        <v>0.97690775286577036</v>
      </c>
    </row>
    <row r="151" spans="1:15">
      <c r="A151" s="3" t="s">
        <v>185</v>
      </c>
      <c r="B151" s="4">
        <v>45432</v>
      </c>
      <c r="C151" s="5">
        <f t="shared" si="4"/>
        <v>45413</v>
      </c>
      <c r="D151" s="3" t="s">
        <v>43</v>
      </c>
      <c r="E151" s="2" t="s">
        <v>44</v>
      </c>
      <c r="F151" s="2" t="s">
        <v>28</v>
      </c>
      <c r="G151" s="2" t="s">
        <v>29</v>
      </c>
      <c r="H151" s="3" t="s">
        <v>45</v>
      </c>
      <c r="I151" s="6">
        <v>44</v>
      </c>
      <c r="J151" s="6">
        <v>45</v>
      </c>
      <c r="K151" s="7">
        <v>0.9668353397301096</v>
      </c>
      <c r="L151" s="7">
        <v>0.97179510691016502</v>
      </c>
      <c r="M151" s="7">
        <v>0.98753318112740485</v>
      </c>
      <c r="N151" s="8">
        <v>16630</v>
      </c>
      <c r="O151" s="7">
        <f t="shared" si="5"/>
        <v>0.99407564628544232</v>
      </c>
    </row>
    <row r="152" spans="1:15">
      <c r="A152" s="3" t="s">
        <v>186</v>
      </c>
      <c r="B152" s="4">
        <v>45432</v>
      </c>
      <c r="C152" s="5">
        <f t="shared" si="4"/>
        <v>45413</v>
      </c>
      <c r="D152" s="3" t="s">
        <v>34</v>
      </c>
      <c r="E152" s="2" t="s">
        <v>35</v>
      </c>
      <c r="F152" s="2" t="s">
        <v>36</v>
      </c>
      <c r="G152" s="2" t="s">
        <v>37</v>
      </c>
      <c r="H152" s="3" t="s">
        <v>20</v>
      </c>
      <c r="I152" s="6">
        <v>41</v>
      </c>
      <c r="J152" s="6">
        <v>41</v>
      </c>
      <c r="K152" s="7">
        <v>0.9204281987295222</v>
      </c>
      <c r="L152" s="7">
        <v>0.95824324648852033</v>
      </c>
      <c r="M152" s="7">
        <v>0.92674524391176982</v>
      </c>
      <c r="N152" s="8">
        <v>16980</v>
      </c>
      <c r="O152" s="7">
        <f t="shared" si="5"/>
        <v>0.95919258543801256</v>
      </c>
    </row>
    <row r="153" spans="1:15">
      <c r="A153" s="3" t="s">
        <v>187</v>
      </c>
      <c r="B153" s="4">
        <v>45433</v>
      </c>
      <c r="C153" s="5">
        <f t="shared" si="4"/>
        <v>45413</v>
      </c>
      <c r="D153" s="3" t="s">
        <v>16</v>
      </c>
      <c r="E153" s="2" t="s">
        <v>17</v>
      </c>
      <c r="F153" s="2" t="s">
        <v>18</v>
      </c>
      <c r="G153" s="2" t="s">
        <v>19</v>
      </c>
      <c r="H153" s="3" t="s">
        <v>20</v>
      </c>
      <c r="I153" s="6">
        <v>55</v>
      </c>
      <c r="J153" s="6">
        <v>59</v>
      </c>
      <c r="K153" s="7">
        <v>0.92542442567821348</v>
      </c>
      <c r="L153" s="7">
        <v>0.98747922435886903</v>
      </c>
      <c r="M153" s="7">
        <v>0.90261972029991255</v>
      </c>
      <c r="N153" s="8">
        <v>35750</v>
      </c>
      <c r="O153" s="7">
        <f t="shared" si="5"/>
        <v>0.98909284322427538</v>
      </c>
    </row>
    <row r="154" spans="1:15">
      <c r="A154" s="3" t="s">
        <v>188</v>
      </c>
      <c r="B154" s="4">
        <v>45433</v>
      </c>
      <c r="C154" s="5">
        <f t="shared" si="4"/>
        <v>45413</v>
      </c>
      <c r="D154" s="3" t="s">
        <v>39</v>
      </c>
      <c r="E154" s="2" t="s">
        <v>40</v>
      </c>
      <c r="F154" s="2" t="s">
        <v>36</v>
      </c>
      <c r="G154" s="2" t="s">
        <v>37</v>
      </c>
      <c r="H154" s="3" t="s">
        <v>24</v>
      </c>
      <c r="I154" s="6">
        <v>44</v>
      </c>
      <c r="J154" s="6">
        <v>50</v>
      </c>
      <c r="K154" s="7">
        <v>0.98210049425394008</v>
      </c>
      <c r="L154" s="7">
        <v>0.96848418297741123</v>
      </c>
      <c r="M154" s="7">
        <v>0.94192015031324172</v>
      </c>
      <c r="N154" s="8">
        <v>23080</v>
      </c>
      <c r="O154" s="7">
        <f t="shared" si="5"/>
        <v>1.0337272356181995</v>
      </c>
    </row>
    <row r="155" spans="1:15">
      <c r="A155" s="3" t="s">
        <v>189</v>
      </c>
      <c r="B155" s="4">
        <v>45434</v>
      </c>
      <c r="C155" s="5">
        <f t="shared" si="4"/>
        <v>45413</v>
      </c>
      <c r="D155" s="3" t="s">
        <v>22</v>
      </c>
      <c r="E155" s="2" t="s">
        <v>23</v>
      </c>
      <c r="F155" s="2" t="s">
        <v>18</v>
      </c>
      <c r="G155" s="2" t="s">
        <v>19</v>
      </c>
      <c r="H155" s="3" t="s">
        <v>24</v>
      </c>
      <c r="I155" s="6">
        <v>35</v>
      </c>
      <c r="J155" s="6">
        <v>35</v>
      </c>
      <c r="K155" s="7">
        <v>0.88963427132868023</v>
      </c>
      <c r="L155" s="7">
        <v>0.95964280068457453</v>
      </c>
      <c r="M155" s="7">
        <v>0.92144686197845926</v>
      </c>
      <c r="N155" s="8">
        <v>19740</v>
      </c>
      <c r="O155" s="7">
        <f t="shared" si="5"/>
        <v>0.95064436033054811</v>
      </c>
    </row>
    <row r="156" spans="1:15">
      <c r="A156" s="3" t="s">
        <v>190</v>
      </c>
      <c r="B156" s="4">
        <v>45434</v>
      </c>
      <c r="C156" s="5">
        <f t="shared" si="4"/>
        <v>45413</v>
      </c>
      <c r="D156" s="3" t="s">
        <v>34</v>
      </c>
      <c r="E156" s="2" t="s">
        <v>35</v>
      </c>
      <c r="F156" s="2" t="s">
        <v>36</v>
      </c>
      <c r="G156" s="2" t="s">
        <v>37</v>
      </c>
      <c r="H156" s="3" t="s">
        <v>20</v>
      </c>
      <c r="I156" s="6">
        <v>53</v>
      </c>
      <c r="J156" s="6">
        <v>53</v>
      </c>
      <c r="K156" s="7">
        <v>0.94712546074778037</v>
      </c>
      <c r="L156" s="7">
        <v>0.975581773392731</v>
      </c>
      <c r="M156" s="7">
        <v>0.94914497580279134</v>
      </c>
      <c r="N156" s="8">
        <v>23110</v>
      </c>
      <c r="O156" s="7">
        <f t="shared" si="5"/>
        <v>0.97294762635641308</v>
      </c>
    </row>
    <row r="157" spans="1:15">
      <c r="A157" s="3" t="s">
        <v>191</v>
      </c>
      <c r="B157" s="4">
        <v>45435</v>
      </c>
      <c r="C157" s="5">
        <f t="shared" si="4"/>
        <v>45413</v>
      </c>
      <c r="D157" s="3" t="s">
        <v>16</v>
      </c>
      <c r="E157" s="2" t="s">
        <v>17</v>
      </c>
      <c r="F157" s="2" t="s">
        <v>18</v>
      </c>
      <c r="G157" s="2" t="s">
        <v>19</v>
      </c>
      <c r="H157" s="3" t="s">
        <v>20</v>
      </c>
      <c r="I157" s="6">
        <v>54</v>
      </c>
      <c r="J157" s="6">
        <v>57</v>
      </c>
      <c r="K157" s="7">
        <v>0.90162124678318434</v>
      </c>
      <c r="L157" s="7">
        <v>0.98935234778885983</v>
      </c>
      <c r="M157" s="7">
        <v>0.95309540987495189</v>
      </c>
      <c r="N157" s="8">
        <v>29950</v>
      </c>
      <c r="O157" s="7">
        <f t="shared" si="5"/>
        <v>0.9866494680613378</v>
      </c>
    </row>
    <row r="158" spans="1:15">
      <c r="A158" s="3" t="s">
        <v>192</v>
      </c>
      <c r="B158" s="4">
        <v>45435</v>
      </c>
      <c r="C158" s="5">
        <f t="shared" si="4"/>
        <v>45413</v>
      </c>
      <c r="D158" s="3" t="s">
        <v>22</v>
      </c>
      <c r="E158" s="2" t="s">
        <v>23</v>
      </c>
      <c r="F158" s="2" t="s">
        <v>18</v>
      </c>
      <c r="G158" s="2" t="s">
        <v>19</v>
      </c>
      <c r="H158" s="3" t="s">
        <v>24</v>
      </c>
      <c r="I158" s="6">
        <v>35</v>
      </c>
      <c r="J158" s="6">
        <v>35</v>
      </c>
      <c r="K158" s="7">
        <v>0.93107334332957603</v>
      </c>
      <c r="L158" s="7">
        <v>0.93699121241942585</v>
      </c>
      <c r="M158" s="7">
        <v>0.93796584547819029</v>
      </c>
      <c r="N158" s="8">
        <v>19960</v>
      </c>
      <c r="O158" s="7">
        <f t="shared" si="5"/>
        <v>0.96091018679094597</v>
      </c>
    </row>
    <row r="159" spans="1:15">
      <c r="A159" s="3" t="s">
        <v>193</v>
      </c>
      <c r="B159" s="4">
        <v>45436</v>
      </c>
      <c r="C159" s="5">
        <f t="shared" si="4"/>
        <v>45413</v>
      </c>
      <c r="D159" s="3" t="s">
        <v>22</v>
      </c>
      <c r="E159" s="2" t="s">
        <v>23</v>
      </c>
      <c r="F159" s="2" t="s">
        <v>18</v>
      </c>
      <c r="G159" s="2" t="s">
        <v>19</v>
      </c>
      <c r="H159" s="3" t="s">
        <v>24</v>
      </c>
      <c r="I159" s="6">
        <v>39</v>
      </c>
      <c r="J159" s="6">
        <v>38</v>
      </c>
      <c r="K159" s="7">
        <v>0.94624099334163425</v>
      </c>
      <c r="L159" s="7">
        <v>0.96553445210325339</v>
      </c>
      <c r="M159" s="7">
        <v>0.97987865707222133</v>
      </c>
      <c r="N159" s="8">
        <v>20980</v>
      </c>
      <c r="O159" s="7">
        <f t="shared" si="5"/>
        <v>0.96710973730893046</v>
      </c>
    </row>
    <row r="160" spans="1:15">
      <c r="A160" s="3" t="s">
        <v>194</v>
      </c>
      <c r="B160" s="4">
        <v>45436</v>
      </c>
      <c r="C160" s="5">
        <f t="shared" si="4"/>
        <v>45413</v>
      </c>
      <c r="D160" s="3" t="s">
        <v>34</v>
      </c>
      <c r="E160" s="2" t="s">
        <v>35</v>
      </c>
      <c r="F160" s="2" t="s">
        <v>36</v>
      </c>
      <c r="G160" s="2" t="s">
        <v>37</v>
      </c>
      <c r="H160" s="3" t="s">
        <v>20</v>
      </c>
      <c r="I160" s="6">
        <v>30</v>
      </c>
      <c r="J160" s="6">
        <v>30</v>
      </c>
      <c r="K160" s="7">
        <v>0.93011857228577588</v>
      </c>
      <c r="L160" s="7">
        <v>0.94860687719472214</v>
      </c>
      <c r="M160" s="7">
        <v>0.91647178434656207</v>
      </c>
      <c r="N160" s="8">
        <v>14680</v>
      </c>
      <c r="O160" s="7">
        <f t="shared" si="5"/>
        <v>0.95811503151996469</v>
      </c>
    </row>
    <row r="161" spans="1:15">
      <c r="A161" s="3" t="s">
        <v>195</v>
      </c>
      <c r="B161" s="4">
        <v>45439</v>
      </c>
      <c r="C161" s="5">
        <f t="shared" si="4"/>
        <v>45413</v>
      </c>
      <c r="D161" s="3" t="s">
        <v>39</v>
      </c>
      <c r="E161" s="2" t="s">
        <v>40</v>
      </c>
      <c r="F161" s="2" t="s">
        <v>36</v>
      </c>
      <c r="G161" s="2" t="s">
        <v>37</v>
      </c>
      <c r="H161" s="3" t="s">
        <v>24</v>
      </c>
      <c r="I161" s="6">
        <v>41</v>
      </c>
      <c r="J161" s="6">
        <v>50</v>
      </c>
      <c r="K161" s="7">
        <v>0.91276985339779726</v>
      </c>
      <c r="L161" s="7">
        <v>1</v>
      </c>
      <c r="M161" s="7">
        <v>0.99133443913266273</v>
      </c>
      <c r="N161" s="8">
        <v>22570</v>
      </c>
      <c r="O161" s="7">
        <f t="shared" si="5"/>
        <v>1.0564593511759819</v>
      </c>
    </row>
    <row r="162" spans="1:15">
      <c r="A162" s="3" t="s">
        <v>196</v>
      </c>
      <c r="B162" s="4">
        <v>45440</v>
      </c>
      <c r="C162" s="5">
        <f t="shared" si="4"/>
        <v>45413</v>
      </c>
      <c r="D162" s="3" t="s">
        <v>22</v>
      </c>
      <c r="E162" s="2" t="s">
        <v>23</v>
      </c>
      <c r="F162" s="2" t="s">
        <v>18</v>
      </c>
      <c r="G162" s="2" t="s">
        <v>19</v>
      </c>
      <c r="H162" s="3" t="s">
        <v>24</v>
      </c>
      <c r="I162" s="6">
        <v>32</v>
      </c>
      <c r="J162" s="6">
        <v>28</v>
      </c>
      <c r="K162" s="7">
        <v>0.90957304899928848</v>
      </c>
      <c r="L162" s="7">
        <v>0.98784095374887315</v>
      </c>
      <c r="M162" s="7">
        <v>0.98451552024294242</v>
      </c>
      <c r="N162" s="8">
        <v>13970</v>
      </c>
      <c r="O162" s="7">
        <f t="shared" si="5"/>
        <v>0.92247250936074154</v>
      </c>
    </row>
    <row r="163" spans="1:15">
      <c r="A163" s="3" t="s">
        <v>197</v>
      </c>
      <c r="B163" s="4">
        <v>45441</v>
      </c>
      <c r="C163" s="5">
        <f t="shared" si="4"/>
        <v>45413</v>
      </c>
      <c r="D163" s="3" t="s">
        <v>26</v>
      </c>
      <c r="E163" s="2" t="s">
        <v>27</v>
      </c>
      <c r="F163" s="2" t="s">
        <v>28</v>
      </c>
      <c r="G163" s="2" t="s">
        <v>29</v>
      </c>
      <c r="H163" s="3" t="s">
        <v>20</v>
      </c>
      <c r="I163" s="6">
        <v>42</v>
      </c>
      <c r="J163" s="6">
        <v>46</v>
      </c>
      <c r="K163" s="7">
        <v>0.91361016092871916</v>
      </c>
      <c r="L163" s="7">
        <v>0.95541480273929291</v>
      </c>
      <c r="M163" s="7">
        <v>0.9148303609181625</v>
      </c>
      <c r="N163" s="8">
        <v>19640</v>
      </c>
      <c r="O163" s="7">
        <f t="shared" si="5"/>
        <v>0.99277607092194431</v>
      </c>
    </row>
    <row r="164" spans="1:15">
      <c r="A164" s="3" t="s">
        <v>198</v>
      </c>
      <c r="B164" s="4">
        <v>45442</v>
      </c>
      <c r="C164" s="5">
        <f t="shared" si="4"/>
        <v>45413</v>
      </c>
      <c r="D164" s="3" t="s">
        <v>16</v>
      </c>
      <c r="E164" s="2" t="s">
        <v>17</v>
      </c>
      <c r="F164" s="2" t="s">
        <v>18</v>
      </c>
      <c r="G164" s="2" t="s">
        <v>19</v>
      </c>
      <c r="H164" s="3" t="s">
        <v>20</v>
      </c>
      <c r="I164" s="6">
        <v>49</v>
      </c>
      <c r="J164" s="6">
        <v>56</v>
      </c>
      <c r="K164" s="7">
        <v>0.96557923889687236</v>
      </c>
      <c r="L164" s="7">
        <v>0.95178496410467783</v>
      </c>
      <c r="M164" s="7">
        <v>0.95260819673775921</v>
      </c>
      <c r="N164" s="8">
        <v>29720</v>
      </c>
      <c r="O164" s="7">
        <f t="shared" si="5"/>
        <v>1.0318270508303287</v>
      </c>
    </row>
    <row r="165" spans="1:15">
      <c r="A165" s="3" t="s">
        <v>199</v>
      </c>
      <c r="B165" s="4">
        <v>45443</v>
      </c>
      <c r="C165" s="5">
        <f t="shared" si="4"/>
        <v>45413</v>
      </c>
      <c r="D165" s="3" t="s">
        <v>22</v>
      </c>
      <c r="E165" s="2" t="s">
        <v>23</v>
      </c>
      <c r="F165" s="2" t="s">
        <v>18</v>
      </c>
      <c r="G165" s="2" t="s">
        <v>19</v>
      </c>
      <c r="H165" s="3" t="s">
        <v>24</v>
      </c>
      <c r="I165" s="6">
        <v>32</v>
      </c>
      <c r="J165" s="6">
        <v>30</v>
      </c>
      <c r="K165" s="7">
        <v>0.90734669805359258</v>
      </c>
      <c r="L165" s="7">
        <v>0.96807054749098398</v>
      </c>
      <c r="M165" s="7">
        <v>0.94728058131957171</v>
      </c>
      <c r="N165" s="8">
        <v>14850</v>
      </c>
      <c r="O165" s="7">
        <f t="shared" si="5"/>
        <v>0.93650337290096008</v>
      </c>
    </row>
    <row r="166" spans="1:15">
      <c r="A166" s="3" t="s">
        <v>200</v>
      </c>
      <c r="B166" s="4">
        <v>45443</v>
      </c>
      <c r="C166" s="5">
        <f t="shared" si="4"/>
        <v>45413</v>
      </c>
      <c r="D166" s="3" t="s">
        <v>26</v>
      </c>
      <c r="E166" s="2" t="s">
        <v>27</v>
      </c>
      <c r="F166" s="2" t="s">
        <v>28</v>
      </c>
      <c r="G166" s="2" t="s">
        <v>29</v>
      </c>
      <c r="H166" s="3" t="s">
        <v>20</v>
      </c>
      <c r="I166" s="6">
        <v>35</v>
      </c>
      <c r="J166" s="6">
        <v>35</v>
      </c>
      <c r="K166" s="7">
        <v>0.91234824942793291</v>
      </c>
      <c r="L166" s="7">
        <v>0.95479407118156467</v>
      </c>
      <c r="M166" s="7">
        <v>0.90379026625305436</v>
      </c>
      <c r="N166" s="8">
        <v>14950</v>
      </c>
      <c r="O166" s="7">
        <f t="shared" si="5"/>
        <v>0.95206422628482879</v>
      </c>
    </row>
    <row r="167" spans="1:15">
      <c r="A167" s="3" t="s">
        <v>201</v>
      </c>
      <c r="B167" s="4">
        <v>45443</v>
      </c>
      <c r="C167" s="5">
        <f t="shared" si="4"/>
        <v>45413</v>
      </c>
      <c r="D167" s="3" t="s">
        <v>26</v>
      </c>
      <c r="E167" s="2" t="s">
        <v>27</v>
      </c>
      <c r="F167" s="2" t="s">
        <v>28</v>
      </c>
      <c r="G167" s="2" t="s">
        <v>29</v>
      </c>
      <c r="H167" s="3" t="s">
        <v>20</v>
      </c>
      <c r="I167" s="6">
        <v>30</v>
      </c>
      <c r="J167" s="6">
        <v>29</v>
      </c>
      <c r="K167" s="7">
        <v>0.89107032624339011</v>
      </c>
      <c r="L167" s="7">
        <v>0.94354876658607822</v>
      </c>
      <c r="M167" s="7">
        <v>0.83225113585331612</v>
      </c>
      <c r="N167" s="8">
        <v>12000</v>
      </c>
      <c r="O167" s="7">
        <f t="shared" si="5"/>
        <v>0.91741679038608925</v>
      </c>
    </row>
    <row r="168" spans="1:15">
      <c r="A168" s="3" t="s">
        <v>202</v>
      </c>
      <c r="B168" s="4">
        <v>45443</v>
      </c>
      <c r="C168" s="5">
        <f t="shared" si="4"/>
        <v>45413</v>
      </c>
      <c r="D168" s="3" t="s">
        <v>26</v>
      </c>
      <c r="E168" s="2" t="s">
        <v>27</v>
      </c>
      <c r="F168" s="2" t="s">
        <v>28</v>
      </c>
      <c r="G168" s="2" t="s">
        <v>29</v>
      </c>
      <c r="H168" s="3" t="s">
        <v>20</v>
      </c>
      <c r="I168" s="6">
        <v>36</v>
      </c>
      <c r="J168" s="6">
        <v>36</v>
      </c>
      <c r="K168" s="7">
        <v>0.88162010095322862</v>
      </c>
      <c r="L168" s="7">
        <v>0.93424133013138566</v>
      </c>
      <c r="M168" s="7">
        <v>0.9135665912531159</v>
      </c>
      <c r="N168" s="8">
        <v>13060</v>
      </c>
      <c r="O168" s="7">
        <f t="shared" si="5"/>
        <v>0.9432545430086382</v>
      </c>
    </row>
    <row r="169" spans="1:15">
      <c r="A169" s="3" t="s">
        <v>203</v>
      </c>
      <c r="B169" s="4">
        <v>45443</v>
      </c>
      <c r="C169" s="5">
        <f t="shared" si="4"/>
        <v>45413</v>
      </c>
      <c r="D169" s="3" t="s">
        <v>34</v>
      </c>
      <c r="E169" s="2" t="s">
        <v>35</v>
      </c>
      <c r="F169" s="2" t="s">
        <v>36</v>
      </c>
      <c r="G169" s="2" t="s">
        <v>37</v>
      </c>
      <c r="H169" s="3" t="s">
        <v>20</v>
      </c>
      <c r="I169" s="6">
        <v>44</v>
      </c>
      <c r="J169" s="6">
        <v>44</v>
      </c>
      <c r="K169" s="7">
        <v>0.87741642497483496</v>
      </c>
      <c r="L169" s="7">
        <v>0.9710619246505513</v>
      </c>
      <c r="M169" s="7">
        <v>0.89429911474579138</v>
      </c>
      <c r="N169" s="8">
        <v>20740</v>
      </c>
      <c r="O169" s="7">
        <f t="shared" si="5"/>
        <v>0.94387321789044976</v>
      </c>
    </row>
    <row r="170" spans="1:15">
      <c r="A170" s="3" t="s">
        <v>204</v>
      </c>
      <c r="B170" s="4">
        <v>45446</v>
      </c>
      <c r="C170" s="5">
        <f t="shared" si="4"/>
        <v>45444</v>
      </c>
      <c r="D170" s="3" t="s">
        <v>43</v>
      </c>
      <c r="E170" s="2" t="s">
        <v>44</v>
      </c>
      <c r="F170" s="2" t="s">
        <v>28</v>
      </c>
      <c r="G170" s="2" t="s">
        <v>29</v>
      </c>
      <c r="H170" s="3" t="s">
        <v>45</v>
      </c>
      <c r="I170" s="6">
        <v>29</v>
      </c>
      <c r="J170" s="6">
        <v>26</v>
      </c>
      <c r="K170" s="7">
        <v>0.96474975061278878</v>
      </c>
      <c r="L170" s="7">
        <v>1</v>
      </c>
      <c r="M170" s="7">
        <v>0.85453808717912538</v>
      </c>
      <c r="N170" s="8">
        <v>9780</v>
      </c>
      <c r="O170" s="7">
        <f t="shared" si="5"/>
        <v>0.92071574474419471</v>
      </c>
    </row>
    <row r="171" spans="1:15">
      <c r="A171" s="3" t="s">
        <v>205</v>
      </c>
      <c r="B171" s="4">
        <v>45446</v>
      </c>
      <c r="C171" s="5">
        <f t="shared" si="4"/>
        <v>45444</v>
      </c>
      <c r="D171" s="3" t="s">
        <v>43</v>
      </c>
      <c r="E171" s="2" t="s">
        <v>44</v>
      </c>
      <c r="F171" s="2" t="s">
        <v>28</v>
      </c>
      <c r="G171" s="2" t="s">
        <v>29</v>
      </c>
      <c r="H171" s="3" t="s">
        <v>45</v>
      </c>
      <c r="I171" s="6">
        <v>49</v>
      </c>
      <c r="J171" s="6">
        <v>45</v>
      </c>
      <c r="K171" s="7">
        <v>0.96572782455847339</v>
      </c>
      <c r="L171" s="7">
        <v>0.97802470396230345</v>
      </c>
      <c r="M171" s="7">
        <v>0.96183759151507053</v>
      </c>
      <c r="N171" s="8">
        <v>18950</v>
      </c>
      <c r="O171" s="7">
        <f t="shared" si="5"/>
        <v>0.94785011881248826</v>
      </c>
    </row>
    <row r="172" spans="1:15">
      <c r="A172" s="3" t="s">
        <v>206</v>
      </c>
      <c r="B172" s="4">
        <v>45447</v>
      </c>
      <c r="C172" s="5">
        <f t="shared" si="4"/>
        <v>45444</v>
      </c>
      <c r="D172" s="3" t="s">
        <v>16</v>
      </c>
      <c r="E172" s="2" t="s">
        <v>17</v>
      </c>
      <c r="F172" s="2" t="s">
        <v>18</v>
      </c>
      <c r="G172" s="2" t="s">
        <v>19</v>
      </c>
      <c r="H172" s="3" t="s">
        <v>20</v>
      </c>
      <c r="I172" s="6">
        <v>32</v>
      </c>
      <c r="J172" s="6">
        <v>37</v>
      </c>
      <c r="K172" s="7">
        <v>0.88422757648663486</v>
      </c>
      <c r="L172" s="7">
        <v>0.9816949523815679</v>
      </c>
      <c r="M172" s="7">
        <v>0.94040149570420306</v>
      </c>
      <c r="N172" s="8">
        <v>21490</v>
      </c>
      <c r="O172" s="7">
        <f t="shared" si="5"/>
        <v>1.0188914361197345</v>
      </c>
    </row>
    <row r="173" spans="1:15">
      <c r="A173" s="3" t="s">
        <v>207</v>
      </c>
      <c r="B173" s="4">
        <v>45448</v>
      </c>
      <c r="C173" s="5">
        <f t="shared" si="4"/>
        <v>45444</v>
      </c>
      <c r="D173" s="3" t="s">
        <v>22</v>
      </c>
      <c r="E173" s="2" t="s">
        <v>23</v>
      </c>
      <c r="F173" s="2" t="s">
        <v>18</v>
      </c>
      <c r="G173" s="2" t="s">
        <v>19</v>
      </c>
      <c r="H173" s="3" t="s">
        <v>24</v>
      </c>
      <c r="I173" s="6">
        <v>29</v>
      </c>
      <c r="J173" s="6">
        <v>26</v>
      </c>
      <c r="K173" s="7">
        <v>0.84436490420876087</v>
      </c>
      <c r="L173" s="7">
        <v>0.98959838474715278</v>
      </c>
      <c r="M173" s="7">
        <v>0.9418310834472382</v>
      </c>
      <c r="N173" s="8">
        <v>14560</v>
      </c>
      <c r="O173" s="7">
        <f t="shared" si="5"/>
        <v>0.90651789010888317</v>
      </c>
    </row>
    <row r="174" spans="1:15">
      <c r="A174" s="3" t="s">
        <v>208</v>
      </c>
      <c r="B174" s="4">
        <v>45448</v>
      </c>
      <c r="C174" s="5">
        <f t="shared" si="4"/>
        <v>45444</v>
      </c>
      <c r="D174" s="3" t="s">
        <v>43</v>
      </c>
      <c r="E174" s="2" t="s">
        <v>44</v>
      </c>
      <c r="F174" s="2" t="s">
        <v>28</v>
      </c>
      <c r="G174" s="2" t="s">
        <v>29</v>
      </c>
      <c r="H174" s="3" t="s">
        <v>45</v>
      </c>
      <c r="I174" s="6">
        <v>48</v>
      </c>
      <c r="J174" s="6">
        <v>53</v>
      </c>
      <c r="K174" s="7">
        <v>0.98268516278802098</v>
      </c>
      <c r="L174" s="7">
        <v>0.96541501886745629</v>
      </c>
      <c r="M174" s="7">
        <v>0.90484722384834215</v>
      </c>
      <c r="N174" s="8">
        <v>23020</v>
      </c>
      <c r="O174" s="7">
        <f t="shared" si="5"/>
        <v>1.0131196549634589</v>
      </c>
    </row>
    <row r="175" spans="1:15">
      <c r="A175" s="3" t="s">
        <v>209</v>
      </c>
      <c r="B175" s="4">
        <v>45448</v>
      </c>
      <c r="C175" s="5">
        <f t="shared" si="4"/>
        <v>45444</v>
      </c>
      <c r="D175" s="3" t="s">
        <v>39</v>
      </c>
      <c r="E175" s="2" t="s">
        <v>40</v>
      </c>
      <c r="F175" s="2" t="s">
        <v>36</v>
      </c>
      <c r="G175" s="2" t="s">
        <v>37</v>
      </c>
      <c r="H175" s="3" t="s">
        <v>24</v>
      </c>
      <c r="I175" s="6">
        <v>49</v>
      </c>
      <c r="J175" s="6">
        <v>55</v>
      </c>
      <c r="K175" s="7">
        <v>0.9564655655051183</v>
      </c>
      <c r="L175" s="7">
        <v>0.9839139040933087</v>
      </c>
      <c r="M175" s="7">
        <v>0.95959699622927475</v>
      </c>
      <c r="N175" s="8">
        <v>23770</v>
      </c>
      <c r="O175" s="7">
        <f t="shared" si="5"/>
        <v>1.0276024680728655</v>
      </c>
    </row>
    <row r="176" spans="1:15">
      <c r="A176" s="3" t="s">
        <v>210</v>
      </c>
      <c r="B176" s="4">
        <v>45449</v>
      </c>
      <c r="C176" s="5">
        <f t="shared" si="4"/>
        <v>45444</v>
      </c>
      <c r="D176" s="3" t="s">
        <v>39</v>
      </c>
      <c r="E176" s="2" t="s">
        <v>40</v>
      </c>
      <c r="F176" s="2" t="s">
        <v>36</v>
      </c>
      <c r="G176" s="2" t="s">
        <v>37</v>
      </c>
      <c r="H176" s="3" t="s">
        <v>24</v>
      </c>
      <c r="I176" s="6">
        <v>54</v>
      </c>
      <c r="J176" s="6">
        <v>46</v>
      </c>
      <c r="K176" s="7">
        <v>0.9628290543701421</v>
      </c>
      <c r="L176" s="7">
        <v>0.98169356455364098</v>
      </c>
      <c r="M176" s="7">
        <v>0.95025808543350432</v>
      </c>
      <c r="N176" s="8">
        <v>21930</v>
      </c>
      <c r="O176" s="7">
        <f t="shared" si="5"/>
        <v>0.9187536561030234</v>
      </c>
    </row>
    <row r="177" spans="1:15">
      <c r="A177" s="3" t="s">
        <v>211</v>
      </c>
      <c r="B177" s="4">
        <v>45450</v>
      </c>
      <c r="C177" s="5">
        <f t="shared" si="4"/>
        <v>45444</v>
      </c>
      <c r="D177" s="3" t="s">
        <v>39</v>
      </c>
      <c r="E177" s="2" t="s">
        <v>40</v>
      </c>
      <c r="F177" s="2" t="s">
        <v>36</v>
      </c>
      <c r="G177" s="2" t="s">
        <v>37</v>
      </c>
      <c r="H177" s="3" t="s">
        <v>24</v>
      </c>
      <c r="I177" s="6">
        <v>36</v>
      </c>
      <c r="J177" s="6">
        <v>41</v>
      </c>
      <c r="K177" s="7">
        <v>0.995</v>
      </c>
      <c r="L177" s="7">
        <v>0.98044763234740206</v>
      </c>
      <c r="M177" s="7">
        <v>0.96312284023049166</v>
      </c>
      <c r="N177" s="8">
        <v>20790</v>
      </c>
      <c r="O177" s="7">
        <f t="shared" si="5"/>
        <v>1.0439972684537642</v>
      </c>
    </row>
    <row r="178" spans="1:15">
      <c r="A178" s="3" t="s">
        <v>212</v>
      </c>
      <c r="B178" s="4">
        <v>45450</v>
      </c>
      <c r="C178" s="5">
        <f t="shared" si="4"/>
        <v>45444</v>
      </c>
      <c r="D178" s="3" t="s">
        <v>39</v>
      </c>
      <c r="E178" s="2" t="s">
        <v>40</v>
      </c>
      <c r="F178" s="2" t="s">
        <v>36</v>
      </c>
      <c r="G178" s="2" t="s">
        <v>37</v>
      </c>
      <c r="H178" s="3" t="s">
        <v>24</v>
      </c>
      <c r="I178" s="6">
        <v>48</v>
      </c>
      <c r="J178" s="6">
        <v>46</v>
      </c>
      <c r="K178" s="7">
        <v>0.97307097141016519</v>
      </c>
      <c r="L178" s="7">
        <v>0.99591912405600935</v>
      </c>
      <c r="M178" s="7">
        <v>0.95169993864676994</v>
      </c>
      <c r="N178" s="8">
        <v>24180</v>
      </c>
      <c r="O178" s="7">
        <f t="shared" si="5"/>
        <v>0.96632893252363006</v>
      </c>
    </row>
    <row r="179" spans="1:15">
      <c r="A179" s="3" t="s">
        <v>213</v>
      </c>
      <c r="B179" s="4">
        <v>45453</v>
      </c>
      <c r="C179" s="5">
        <f t="shared" si="4"/>
        <v>45444</v>
      </c>
      <c r="D179" s="3" t="s">
        <v>34</v>
      </c>
      <c r="E179" s="2" t="s">
        <v>35</v>
      </c>
      <c r="F179" s="2" t="s">
        <v>36</v>
      </c>
      <c r="G179" s="2" t="s">
        <v>37</v>
      </c>
      <c r="H179" s="3" t="s">
        <v>20</v>
      </c>
      <c r="I179" s="6">
        <v>53</v>
      </c>
      <c r="J179" s="6">
        <v>49</v>
      </c>
      <c r="K179" s="7">
        <v>0.88776975693492532</v>
      </c>
      <c r="L179" s="7">
        <v>0.95830794229077387</v>
      </c>
      <c r="M179" s="7">
        <v>0.93268033014875762</v>
      </c>
      <c r="N179" s="8">
        <v>24540</v>
      </c>
      <c r="O179" s="7">
        <f t="shared" si="5"/>
        <v>0.92203601736181606</v>
      </c>
    </row>
    <row r="180" spans="1:15">
      <c r="A180" s="3" t="s">
        <v>214</v>
      </c>
      <c r="B180" s="4">
        <v>45455</v>
      </c>
      <c r="C180" s="5">
        <f t="shared" si="4"/>
        <v>45444</v>
      </c>
      <c r="D180" s="3" t="s">
        <v>43</v>
      </c>
      <c r="E180" s="2" t="s">
        <v>44</v>
      </c>
      <c r="F180" s="2" t="s">
        <v>28</v>
      </c>
      <c r="G180" s="2" t="s">
        <v>29</v>
      </c>
      <c r="H180" s="3" t="s">
        <v>45</v>
      </c>
      <c r="I180" s="6">
        <v>33</v>
      </c>
      <c r="J180" s="6">
        <v>32</v>
      </c>
      <c r="K180" s="7">
        <v>0.9377601794686119</v>
      </c>
      <c r="L180" s="7">
        <v>0.987028933147996</v>
      </c>
      <c r="M180" s="7">
        <v>0.90907827333139024</v>
      </c>
      <c r="N180" s="8">
        <v>14320</v>
      </c>
      <c r="O180" s="7">
        <f t="shared" si="5"/>
        <v>0.95218882738441835</v>
      </c>
    </row>
    <row r="181" spans="1:15">
      <c r="A181" s="3" t="s">
        <v>215</v>
      </c>
      <c r="B181" s="4">
        <v>45457</v>
      </c>
      <c r="C181" s="5">
        <f t="shared" si="4"/>
        <v>45444</v>
      </c>
      <c r="D181" s="3" t="s">
        <v>26</v>
      </c>
      <c r="E181" s="2" t="s">
        <v>27</v>
      </c>
      <c r="F181" s="2" t="s">
        <v>28</v>
      </c>
      <c r="G181" s="2" t="s">
        <v>29</v>
      </c>
      <c r="H181" s="3" t="s">
        <v>20</v>
      </c>
      <c r="I181" s="6">
        <v>33</v>
      </c>
      <c r="J181" s="6">
        <v>33</v>
      </c>
      <c r="K181" s="7">
        <v>0.86340325299075105</v>
      </c>
      <c r="L181" s="7">
        <v>0.95392586877186902</v>
      </c>
      <c r="M181" s="7">
        <v>0.87486145697652307</v>
      </c>
      <c r="N181" s="8">
        <v>12890</v>
      </c>
      <c r="O181" s="7">
        <f t="shared" si="5"/>
        <v>0.9339119849587727</v>
      </c>
    </row>
    <row r="182" spans="1:15">
      <c r="A182" s="3" t="s">
        <v>216</v>
      </c>
      <c r="B182" s="4">
        <v>45457</v>
      </c>
      <c r="C182" s="5">
        <f t="shared" si="4"/>
        <v>45444</v>
      </c>
      <c r="D182" s="3" t="s">
        <v>43</v>
      </c>
      <c r="E182" s="2" t="s">
        <v>44</v>
      </c>
      <c r="F182" s="2" t="s">
        <v>28</v>
      </c>
      <c r="G182" s="2" t="s">
        <v>29</v>
      </c>
      <c r="H182" s="3" t="s">
        <v>45</v>
      </c>
      <c r="I182" s="6">
        <v>45</v>
      </c>
      <c r="J182" s="6">
        <v>45</v>
      </c>
      <c r="K182" s="7">
        <v>0.995</v>
      </c>
      <c r="L182" s="7">
        <v>0.962518906989694</v>
      </c>
      <c r="M182" s="7">
        <v>0.93792581734798142</v>
      </c>
      <c r="N182" s="8">
        <v>17290</v>
      </c>
      <c r="O182" s="7">
        <f t="shared" si="5"/>
        <v>0.98071299951805047</v>
      </c>
    </row>
    <row r="183" spans="1:15">
      <c r="A183" s="3" t="s">
        <v>217</v>
      </c>
      <c r="B183" s="4">
        <v>45457</v>
      </c>
      <c r="C183" s="5">
        <f t="shared" si="4"/>
        <v>45444</v>
      </c>
      <c r="D183" s="3" t="s">
        <v>39</v>
      </c>
      <c r="E183" s="2" t="s">
        <v>40</v>
      </c>
      <c r="F183" s="2" t="s">
        <v>36</v>
      </c>
      <c r="G183" s="2" t="s">
        <v>37</v>
      </c>
      <c r="H183" s="3" t="s">
        <v>24</v>
      </c>
      <c r="I183" s="6">
        <v>50</v>
      </c>
      <c r="J183" s="6">
        <v>50</v>
      </c>
      <c r="K183" s="7">
        <v>0.96907137766177487</v>
      </c>
      <c r="L183" s="7">
        <v>0.93737479267946455</v>
      </c>
      <c r="M183" s="7">
        <v>0.93291024308106929</v>
      </c>
      <c r="N183" s="8">
        <v>24010</v>
      </c>
      <c r="O183" s="7">
        <f t="shared" si="5"/>
        <v>0.96945611193357728</v>
      </c>
    </row>
    <row r="184" spans="1:15">
      <c r="A184" s="3" t="s">
        <v>218</v>
      </c>
      <c r="B184" s="4">
        <v>45461</v>
      </c>
      <c r="C184" s="5">
        <f t="shared" si="4"/>
        <v>45444</v>
      </c>
      <c r="D184" s="3" t="s">
        <v>34</v>
      </c>
      <c r="E184" s="2" t="s">
        <v>35</v>
      </c>
      <c r="F184" s="2" t="s">
        <v>36</v>
      </c>
      <c r="G184" s="2" t="s">
        <v>37</v>
      </c>
      <c r="H184" s="3" t="s">
        <v>20</v>
      </c>
      <c r="I184" s="6">
        <v>35</v>
      </c>
      <c r="J184" s="6">
        <v>38</v>
      </c>
      <c r="K184" s="7">
        <v>0.94758748695892825</v>
      </c>
      <c r="L184" s="7">
        <v>0.9627725782602079</v>
      </c>
      <c r="M184" s="7">
        <v>0.95686344904936127</v>
      </c>
      <c r="N184" s="8">
        <v>16950</v>
      </c>
      <c r="O184" s="7">
        <f t="shared" si="5"/>
        <v>1.0069711625743498</v>
      </c>
    </row>
    <row r="185" spans="1:15">
      <c r="A185" s="3" t="s">
        <v>219</v>
      </c>
      <c r="B185" s="4">
        <v>45462</v>
      </c>
      <c r="C185" s="5">
        <f t="shared" si="4"/>
        <v>45444</v>
      </c>
      <c r="D185" s="3" t="s">
        <v>34</v>
      </c>
      <c r="E185" s="2" t="s">
        <v>35</v>
      </c>
      <c r="F185" s="2" t="s">
        <v>36</v>
      </c>
      <c r="G185" s="2" t="s">
        <v>37</v>
      </c>
      <c r="H185" s="3" t="s">
        <v>20</v>
      </c>
      <c r="I185" s="6">
        <v>50</v>
      </c>
      <c r="J185" s="6">
        <v>45</v>
      </c>
      <c r="K185" s="7">
        <v>0.94026859567960919</v>
      </c>
      <c r="L185" s="7">
        <v>0.95424439684542428</v>
      </c>
      <c r="M185" s="7">
        <v>0.88115680623458026</v>
      </c>
      <c r="N185" s="8">
        <v>21450</v>
      </c>
      <c r="O185" s="7">
        <f t="shared" si="5"/>
        <v>0.91443516969363203</v>
      </c>
    </row>
    <row r="186" spans="1:15">
      <c r="A186" s="3" t="s">
        <v>220</v>
      </c>
      <c r="B186" s="4">
        <v>45463</v>
      </c>
      <c r="C186" s="5">
        <f t="shared" si="4"/>
        <v>45444</v>
      </c>
      <c r="D186" s="3" t="s">
        <v>22</v>
      </c>
      <c r="E186" s="2" t="s">
        <v>23</v>
      </c>
      <c r="F186" s="2" t="s">
        <v>18</v>
      </c>
      <c r="G186" s="2" t="s">
        <v>19</v>
      </c>
      <c r="H186" s="3" t="s">
        <v>24</v>
      </c>
      <c r="I186" s="6">
        <v>52</v>
      </c>
      <c r="J186" s="6">
        <v>52</v>
      </c>
      <c r="K186" s="7">
        <v>0.92016197220922935</v>
      </c>
      <c r="L186" s="7">
        <v>0.98457838214739446</v>
      </c>
      <c r="M186" s="7">
        <v>0.96608395324245622</v>
      </c>
      <c r="N186" s="8">
        <v>30890</v>
      </c>
      <c r="O186" s="7">
        <f t="shared" si="5"/>
        <v>0.97094404102290788</v>
      </c>
    </row>
    <row r="187" spans="1:15">
      <c r="A187" s="3" t="s">
        <v>221</v>
      </c>
      <c r="B187" s="4">
        <v>45469</v>
      </c>
      <c r="C187" s="5">
        <f t="shared" si="4"/>
        <v>45444</v>
      </c>
      <c r="D187" s="3" t="s">
        <v>16</v>
      </c>
      <c r="E187" s="2" t="s">
        <v>17</v>
      </c>
      <c r="F187" s="2" t="s">
        <v>18</v>
      </c>
      <c r="G187" s="2" t="s">
        <v>19</v>
      </c>
      <c r="H187" s="3" t="s">
        <v>20</v>
      </c>
      <c r="I187" s="6">
        <v>42</v>
      </c>
      <c r="J187" s="6">
        <v>48</v>
      </c>
      <c r="K187" s="7">
        <v>0.92890514666020518</v>
      </c>
      <c r="L187" s="7">
        <v>0.95113950894395627</v>
      </c>
      <c r="M187" s="7">
        <v>0.96681154937046909</v>
      </c>
      <c r="N187" s="8">
        <v>29220</v>
      </c>
      <c r="O187" s="7">
        <f t="shared" si="5"/>
        <v>1.0254023800235956</v>
      </c>
    </row>
    <row r="188" spans="1:15">
      <c r="A188" s="3" t="s">
        <v>222</v>
      </c>
      <c r="B188" s="4">
        <v>45469</v>
      </c>
      <c r="C188" s="5">
        <f t="shared" si="4"/>
        <v>45444</v>
      </c>
      <c r="D188" s="3" t="s">
        <v>43</v>
      </c>
      <c r="E188" s="2" t="s">
        <v>44</v>
      </c>
      <c r="F188" s="2" t="s">
        <v>28</v>
      </c>
      <c r="G188" s="2" t="s">
        <v>29</v>
      </c>
      <c r="H188" s="3" t="s">
        <v>45</v>
      </c>
      <c r="I188" s="6">
        <v>33</v>
      </c>
      <c r="J188" s="6">
        <v>39</v>
      </c>
      <c r="K188" s="7">
        <v>0.9430008817668325</v>
      </c>
      <c r="L188" s="7">
        <v>0.9932560907047524</v>
      </c>
      <c r="M188" s="7">
        <v>0.94018271370699003</v>
      </c>
      <c r="N188" s="8">
        <v>18580</v>
      </c>
      <c r="O188" s="7">
        <f t="shared" si="5"/>
        <v>1.0455024495160918</v>
      </c>
    </row>
    <row r="189" spans="1:15">
      <c r="A189" s="3" t="s">
        <v>223</v>
      </c>
      <c r="B189" s="4">
        <v>45470</v>
      </c>
      <c r="C189" s="5">
        <f t="shared" si="4"/>
        <v>45444</v>
      </c>
      <c r="D189" s="3" t="s">
        <v>34</v>
      </c>
      <c r="E189" s="2" t="s">
        <v>35</v>
      </c>
      <c r="F189" s="2" t="s">
        <v>36</v>
      </c>
      <c r="G189" s="2" t="s">
        <v>37</v>
      </c>
      <c r="H189" s="3" t="s">
        <v>20</v>
      </c>
      <c r="I189" s="6">
        <v>45</v>
      </c>
      <c r="J189" s="6">
        <v>47</v>
      </c>
      <c r="K189" s="7">
        <v>0.95797150633959427</v>
      </c>
      <c r="L189" s="7">
        <v>0.97263119708746326</v>
      </c>
      <c r="M189" s="7">
        <v>0.93493971416694099</v>
      </c>
      <c r="N189" s="8">
        <v>21240</v>
      </c>
      <c r="O189" s="7">
        <f t="shared" si="5"/>
        <v>0.99015327675918408</v>
      </c>
    </row>
    <row r="190" spans="1:15">
      <c r="A190" s="3" t="s">
        <v>224</v>
      </c>
      <c r="B190" s="4">
        <v>45471</v>
      </c>
      <c r="C190" s="5">
        <f t="shared" si="4"/>
        <v>45444</v>
      </c>
      <c r="D190" s="3" t="s">
        <v>16</v>
      </c>
      <c r="E190" s="2" t="s">
        <v>17</v>
      </c>
      <c r="F190" s="2" t="s">
        <v>18</v>
      </c>
      <c r="G190" s="2" t="s">
        <v>19</v>
      </c>
      <c r="H190" s="3" t="s">
        <v>20</v>
      </c>
      <c r="I190" s="6">
        <v>51</v>
      </c>
      <c r="J190" s="6">
        <v>61</v>
      </c>
      <c r="K190" s="7">
        <v>0.9413592853745022</v>
      </c>
      <c r="L190" s="7">
        <v>0.93850409108434152</v>
      </c>
      <c r="M190" s="7">
        <v>0.90673211130540887</v>
      </c>
      <c r="N190" s="8">
        <v>37650</v>
      </c>
      <c r="O190" s="7">
        <f t="shared" si="5"/>
        <v>1.0358932298163781</v>
      </c>
    </row>
    <row r="191" spans="1:15">
      <c r="A191" s="3" t="s">
        <v>225</v>
      </c>
      <c r="B191" s="4">
        <v>45471</v>
      </c>
      <c r="C191" s="5">
        <f t="shared" si="4"/>
        <v>45444</v>
      </c>
      <c r="D191" s="3" t="s">
        <v>39</v>
      </c>
      <c r="E191" s="2" t="s">
        <v>40</v>
      </c>
      <c r="F191" s="2" t="s">
        <v>36</v>
      </c>
      <c r="G191" s="2" t="s">
        <v>37</v>
      </c>
      <c r="H191" s="3" t="s">
        <v>24</v>
      </c>
      <c r="I191" s="6">
        <v>41</v>
      </c>
      <c r="J191" s="6">
        <v>50</v>
      </c>
      <c r="K191" s="7">
        <v>0.96725357063067452</v>
      </c>
      <c r="L191" s="7">
        <v>0.95945896181641332</v>
      </c>
      <c r="M191" s="7">
        <v>0.995</v>
      </c>
      <c r="N191" s="8">
        <v>26180</v>
      </c>
      <c r="O191" s="7">
        <f t="shared" si="5"/>
        <v>1.0647322369301306</v>
      </c>
    </row>
    <row r="192" spans="1:15">
      <c r="A192" s="3" t="s">
        <v>226</v>
      </c>
      <c r="B192" s="4">
        <v>45471</v>
      </c>
      <c r="C192" s="5">
        <f t="shared" si="4"/>
        <v>45444</v>
      </c>
      <c r="D192" s="3" t="s">
        <v>39</v>
      </c>
      <c r="E192" s="2" t="s">
        <v>40</v>
      </c>
      <c r="F192" s="2" t="s">
        <v>36</v>
      </c>
      <c r="G192" s="2" t="s">
        <v>37</v>
      </c>
      <c r="H192" s="3" t="s">
        <v>24</v>
      </c>
      <c r="I192" s="6">
        <v>42</v>
      </c>
      <c r="J192" s="6">
        <v>46</v>
      </c>
      <c r="K192" s="7">
        <v>0.93729320580333031</v>
      </c>
      <c r="L192" s="7">
        <v>1</v>
      </c>
      <c r="M192" s="7">
        <v>0.9803135045073309</v>
      </c>
      <c r="N192" s="8">
        <v>21170</v>
      </c>
      <c r="O192" s="7">
        <f t="shared" si="5"/>
        <v>1.018481240447537</v>
      </c>
    </row>
    <row r="193" spans="1:15">
      <c r="A193" s="3" t="s">
        <v>227</v>
      </c>
      <c r="B193" s="4">
        <v>45474</v>
      </c>
      <c r="C193" s="5">
        <f t="shared" si="4"/>
        <v>45474</v>
      </c>
      <c r="D193" s="3" t="s">
        <v>34</v>
      </c>
      <c r="E193" s="2" t="s">
        <v>35</v>
      </c>
      <c r="F193" s="2" t="s">
        <v>36</v>
      </c>
      <c r="G193" s="2" t="s">
        <v>37</v>
      </c>
      <c r="H193" s="3" t="s">
        <v>20</v>
      </c>
      <c r="I193" s="6">
        <v>33</v>
      </c>
      <c r="J193" s="6">
        <v>30</v>
      </c>
      <c r="K193" s="7">
        <v>0.90061183408109446</v>
      </c>
      <c r="L193" s="7">
        <v>0.95130564775995419</v>
      </c>
      <c r="M193" s="7">
        <v>0.906123064691153</v>
      </c>
      <c r="N193" s="8">
        <v>14870</v>
      </c>
      <c r="O193" s="7">
        <f t="shared" si="5"/>
        <v>0.91270978225886101</v>
      </c>
    </row>
    <row r="194" spans="1:15">
      <c r="A194" s="3" t="s">
        <v>228</v>
      </c>
      <c r="B194" s="4">
        <v>45475</v>
      </c>
      <c r="C194" s="5">
        <f t="shared" ref="C194:C257" si="6">DATE(YEAR(B194),MONTH(B194),1)</f>
        <v>45474</v>
      </c>
      <c r="D194" s="3" t="s">
        <v>43</v>
      </c>
      <c r="E194" s="2" t="s">
        <v>44</v>
      </c>
      <c r="F194" s="2" t="s">
        <v>28</v>
      </c>
      <c r="G194" s="2" t="s">
        <v>29</v>
      </c>
      <c r="H194" s="3" t="s">
        <v>45</v>
      </c>
      <c r="I194" s="6">
        <v>35</v>
      </c>
      <c r="J194" s="6">
        <v>38</v>
      </c>
      <c r="K194" s="7">
        <v>0.88443323866604129</v>
      </c>
      <c r="L194" s="7">
        <v>0.98652160720996718</v>
      </c>
      <c r="M194" s="7">
        <v>0.91709648299988367</v>
      </c>
      <c r="N194" s="8">
        <v>15760</v>
      </c>
      <c r="O194" s="7">
        <f t="shared" ref="O194:O257" si="7">MIN(J194/I194,1.2)*40%+K194*25%+L194*15%+M194*20%</f>
        <v>0.98679156163369641</v>
      </c>
    </row>
    <row r="195" spans="1:15">
      <c r="A195" s="3" t="s">
        <v>229</v>
      </c>
      <c r="B195" s="4">
        <v>45476</v>
      </c>
      <c r="C195" s="5">
        <f t="shared" si="6"/>
        <v>45474</v>
      </c>
      <c r="D195" s="3" t="s">
        <v>34</v>
      </c>
      <c r="E195" s="2" t="s">
        <v>35</v>
      </c>
      <c r="F195" s="2" t="s">
        <v>36</v>
      </c>
      <c r="G195" s="2" t="s">
        <v>37</v>
      </c>
      <c r="H195" s="3" t="s">
        <v>20</v>
      </c>
      <c r="I195" s="6">
        <v>52</v>
      </c>
      <c r="J195" s="6">
        <v>43</v>
      </c>
      <c r="K195" s="7">
        <v>0.90383680918996545</v>
      </c>
      <c r="L195" s="7">
        <v>0.94277123156069098</v>
      </c>
      <c r="M195" s="7">
        <v>0.9322434584854643</v>
      </c>
      <c r="N195" s="8">
        <v>18880</v>
      </c>
      <c r="O195" s="7">
        <f t="shared" si="7"/>
        <v>0.88459280949791874</v>
      </c>
    </row>
    <row r="196" spans="1:15">
      <c r="A196" s="3" t="s">
        <v>230</v>
      </c>
      <c r="B196" s="4">
        <v>45477</v>
      </c>
      <c r="C196" s="5">
        <f t="shared" si="6"/>
        <v>45474</v>
      </c>
      <c r="D196" s="3" t="s">
        <v>26</v>
      </c>
      <c r="E196" s="2" t="s">
        <v>27</v>
      </c>
      <c r="F196" s="2" t="s">
        <v>28</v>
      </c>
      <c r="G196" s="2" t="s">
        <v>29</v>
      </c>
      <c r="H196" s="3" t="s">
        <v>20</v>
      </c>
      <c r="I196" s="6">
        <v>49</v>
      </c>
      <c r="J196" s="6">
        <v>48</v>
      </c>
      <c r="K196" s="7">
        <v>0.85442067535293875</v>
      </c>
      <c r="L196" s="7">
        <v>0.97485109572120843</v>
      </c>
      <c r="M196" s="7">
        <v>0.83962273527516407</v>
      </c>
      <c r="N196" s="8">
        <v>21550</v>
      </c>
      <c r="O196" s="7">
        <f t="shared" si="7"/>
        <v>0.91959411494532628</v>
      </c>
    </row>
    <row r="197" spans="1:15">
      <c r="A197" s="3" t="s">
        <v>231</v>
      </c>
      <c r="B197" s="4">
        <v>45478</v>
      </c>
      <c r="C197" s="5">
        <f t="shared" si="6"/>
        <v>45474</v>
      </c>
      <c r="D197" s="3" t="s">
        <v>39</v>
      </c>
      <c r="E197" s="2" t="s">
        <v>40</v>
      </c>
      <c r="F197" s="2" t="s">
        <v>36</v>
      </c>
      <c r="G197" s="2" t="s">
        <v>37</v>
      </c>
      <c r="H197" s="3" t="s">
        <v>24</v>
      </c>
      <c r="I197" s="6">
        <v>33</v>
      </c>
      <c r="J197" s="6">
        <v>34</v>
      </c>
      <c r="K197" s="7">
        <v>0.94041245044131816</v>
      </c>
      <c r="L197" s="7">
        <v>1</v>
      </c>
      <c r="M197" s="7">
        <v>0.97679597236851978</v>
      </c>
      <c r="N197" s="8">
        <v>15110</v>
      </c>
      <c r="O197" s="7">
        <f t="shared" si="7"/>
        <v>0.99258351920524568</v>
      </c>
    </row>
    <row r="198" spans="1:15">
      <c r="A198" s="3" t="s">
        <v>232</v>
      </c>
      <c r="B198" s="4">
        <v>45482</v>
      </c>
      <c r="C198" s="5">
        <f t="shared" si="6"/>
        <v>45474</v>
      </c>
      <c r="D198" s="3" t="s">
        <v>22</v>
      </c>
      <c r="E198" s="2" t="s">
        <v>23</v>
      </c>
      <c r="F198" s="2" t="s">
        <v>18</v>
      </c>
      <c r="G198" s="2" t="s">
        <v>19</v>
      </c>
      <c r="H198" s="3" t="s">
        <v>24</v>
      </c>
      <c r="I198" s="6">
        <v>31</v>
      </c>
      <c r="J198" s="6">
        <v>30</v>
      </c>
      <c r="K198" s="7">
        <v>0.93363589115326751</v>
      </c>
      <c r="L198" s="7">
        <v>0.95786036603927827</v>
      </c>
      <c r="M198" s="7">
        <v>0.95130779349265748</v>
      </c>
      <c r="N198" s="8">
        <v>14830</v>
      </c>
      <c r="O198" s="7">
        <f t="shared" si="7"/>
        <v>0.95444636058628851</v>
      </c>
    </row>
    <row r="199" spans="1:15">
      <c r="A199" s="3" t="s">
        <v>233</v>
      </c>
      <c r="B199" s="4">
        <v>45482</v>
      </c>
      <c r="C199" s="5">
        <f t="shared" si="6"/>
        <v>45474</v>
      </c>
      <c r="D199" s="3" t="s">
        <v>26</v>
      </c>
      <c r="E199" s="2" t="s">
        <v>27</v>
      </c>
      <c r="F199" s="2" t="s">
        <v>28</v>
      </c>
      <c r="G199" s="2" t="s">
        <v>29</v>
      </c>
      <c r="H199" s="3" t="s">
        <v>20</v>
      </c>
      <c r="I199" s="6">
        <v>30</v>
      </c>
      <c r="J199" s="6">
        <v>25</v>
      </c>
      <c r="K199" s="7">
        <v>0.87989528991854105</v>
      </c>
      <c r="L199" s="7">
        <v>0.95084448543511091</v>
      </c>
      <c r="M199" s="7">
        <v>0.90358633900196528</v>
      </c>
      <c r="N199" s="8">
        <v>10980</v>
      </c>
      <c r="O199" s="7">
        <f t="shared" si="7"/>
        <v>0.87665109642862837</v>
      </c>
    </row>
    <row r="200" spans="1:15">
      <c r="A200" s="3" t="s">
        <v>234</v>
      </c>
      <c r="B200" s="4">
        <v>45482</v>
      </c>
      <c r="C200" s="5">
        <f t="shared" si="6"/>
        <v>45474</v>
      </c>
      <c r="D200" s="3" t="s">
        <v>26</v>
      </c>
      <c r="E200" s="2" t="s">
        <v>27</v>
      </c>
      <c r="F200" s="2" t="s">
        <v>28</v>
      </c>
      <c r="G200" s="2" t="s">
        <v>29</v>
      </c>
      <c r="H200" s="3" t="s">
        <v>20</v>
      </c>
      <c r="I200" s="6">
        <v>49</v>
      </c>
      <c r="J200" s="6">
        <v>43</v>
      </c>
      <c r="K200" s="7">
        <v>0.88841593788799578</v>
      </c>
      <c r="L200" s="7">
        <v>0.95209107990870101</v>
      </c>
      <c r="M200" s="7">
        <v>0.8676258759774278</v>
      </c>
      <c r="N200" s="8">
        <v>15980</v>
      </c>
      <c r="O200" s="7">
        <f t="shared" si="7"/>
        <v>0.88946322981705506</v>
      </c>
    </row>
    <row r="201" spans="1:15">
      <c r="A201" s="3" t="s">
        <v>235</v>
      </c>
      <c r="B201" s="4">
        <v>45482</v>
      </c>
      <c r="C201" s="5">
        <f t="shared" si="6"/>
        <v>45474</v>
      </c>
      <c r="D201" s="3" t="s">
        <v>34</v>
      </c>
      <c r="E201" s="2" t="s">
        <v>35</v>
      </c>
      <c r="F201" s="2" t="s">
        <v>36</v>
      </c>
      <c r="G201" s="2" t="s">
        <v>37</v>
      </c>
      <c r="H201" s="3" t="s">
        <v>20</v>
      </c>
      <c r="I201" s="6">
        <v>43</v>
      </c>
      <c r="J201" s="6">
        <v>34</v>
      </c>
      <c r="K201" s="7">
        <v>0.92482130334865964</v>
      </c>
      <c r="L201" s="7">
        <v>0.98295962276682713</v>
      </c>
      <c r="M201" s="7">
        <v>0.97144086603768587</v>
      </c>
      <c r="N201" s="8">
        <v>16550</v>
      </c>
      <c r="O201" s="7">
        <f t="shared" si="7"/>
        <v>0.88921651222716802</v>
      </c>
    </row>
    <row r="202" spans="1:15">
      <c r="A202" s="3" t="s">
        <v>236</v>
      </c>
      <c r="B202" s="4">
        <v>45482</v>
      </c>
      <c r="C202" s="5">
        <f t="shared" si="6"/>
        <v>45474</v>
      </c>
      <c r="D202" s="3" t="s">
        <v>39</v>
      </c>
      <c r="E202" s="2" t="s">
        <v>40</v>
      </c>
      <c r="F202" s="2" t="s">
        <v>36</v>
      </c>
      <c r="G202" s="2" t="s">
        <v>37</v>
      </c>
      <c r="H202" s="3" t="s">
        <v>24</v>
      </c>
      <c r="I202" s="6">
        <v>54</v>
      </c>
      <c r="J202" s="6">
        <v>54</v>
      </c>
      <c r="K202" s="7">
        <v>0.98246122272741576</v>
      </c>
      <c r="L202" s="7">
        <v>1</v>
      </c>
      <c r="M202" s="7">
        <v>0.98324755738502401</v>
      </c>
      <c r="N202" s="8">
        <v>28560</v>
      </c>
      <c r="O202" s="7">
        <f t="shared" si="7"/>
        <v>0.99226481715885884</v>
      </c>
    </row>
    <row r="203" spans="1:15">
      <c r="A203" s="3" t="s">
        <v>237</v>
      </c>
      <c r="B203" s="4">
        <v>45484</v>
      </c>
      <c r="C203" s="5">
        <f t="shared" si="6"/>
        <v>45474</v>
      </c>
      <c r="D203" s="3" t="s">
        <v>16</v>
      </c>
      <c r="E203" s="2" t="s">
        <v>17</v>
      </c>
      <c r="F203" s="2" t="s">
        <v>18</v>
      </c>
      <c r="G203" s="2" t="s">
        <v>19</v>
      </c>
      <c r="H203" s="3" t="s">
        <v>20</v>
      </c>
      <c r="I203" s="6">
        <v>45</v>
      </c>
      <c r="J203" s="6">
        <v>42</v>
      </c>
      <c r="K203" s="7">
        <v>0.97867489394684015</v>
      </c>
      <c r="L203" s="7">
        <v>0.97558118151876616</v>
      </c>
      <c r="M203" s="7">
        <v>0.91680135906911864</v>
      </c>
      <c r="N203" s="8">
        <v>27500</v>
      </c>
      <c r="O203" s="7">
        <f t="shared" si="7"/>
        <v>0.94769950586168206</v>
      </c>
    </row>
    <row r="204" spans="1:15">
      <c r="A204" s="3" t="s">
        <v>238</v>
      </c>
      <c r="B204" s="4">
        <v>45484</v>
      </c>
      <c r="C204" s="5">
        <f t="shared" si="6"/>
        <v>45474</v>
      </c>
      <c r="D204" s="3" t="s">
        <v>39</v>
      </c>
      <c r="E204" s="2" t="s">
        <v>40</v>
      </c>
      <c r="F204" s="2" t="s">
        <v>36</v>
      </c>
      <c r="G204" s="2" t="s">
        <v>37</v>
      </c>
      <c r="H204" s="3" t="s">
        <v>24</v>
      </c>
      <c r="I204" s="6">
        <v>53</v>
      </c>
      <c r="J204" s="6">
        <v>58</v>
      </c>
      <c r="K204" s="7">
        <v>0.92096297988727216</v>
      </c>
      <c r="L204" s="7">
        <v>0.96082336505206634</v>
      </c>
      <c r="M204" s="7">
        <v>0.95885079651202365</v>
      </c>
      <c r="N204" s="8">
        <v>30710</v>
      </c>
      <c r="O204" s="7">
        <f t="shared" si="7"/>
        <v>1.0038702580886365</v>
      </c>
    </row>
    <row r="205" spans="1:15">
      <c r="A205" s="3" t="s">
        <v>239</v>
      </c>
      <c r="B205" s="4">
        <v>45484</v>
      </c>
      <c r="C205" s="5">
        <f t="shared" si="6"/>
        <v>45474</v>
      </c>
      <c r="D205" s="3" t="s">
        <v>39</v>
      </c>
      <c r="E205" s="2" t="s">
        <v>40</v>
      </c>
      <c r="F205" s="2" t="s">
        <v>36</v>
      </c>
      <c r="G205" s="2" t="s">
        <v>37</v>
      </c>
      <c r="H205" s="3" t="s">
        <v>24</v>
      </c>
      <c r="I205" s="6">
        <v>53</v>
      </c>
      <c r="J205" s="6">
        <v>61</v>
      </c>
      <c r="K205" s="7">
        <v>0.9402146273735984</v>
      </c>
      <c r="L205" s="7">
        <v>0.99076178643319657</v>
      </c>
      <c r="M205" s="7">
        <v>0.94124563837169239</v>
      </c>
      <c r="N205" s="8">
        <v>29720</v>
      </c>
      <c r="O205" s="7">
        <f t="shared" si="7"/>
        <v>1.0322944109732837</v>
      </c>
    </row>
    <row r="206" spans="1:15">
      <c r="A206" s="3" t="s">
        <v>240</v>
      </c>
      <c r="B206" s="4">
        <v>45485</v>
      </c>
      <c r="C206" s="5">
        <f t="shared" si="6"/>
        <v>45474</v>
      </c>
      <c r="D206" s="3" t="s">
        <v>16</v>
      </c>
      <c r="E206" s="2" t="s">
        <v>17</v>
      </c>
      <c r="F206" s="2" t="s">
        <v>18</v>
      </c>
      <c r="G206" s="2" t="s">
        <v>19</v>
      </c>
      <c r="H206" s="3" t="s">
        <v>20</v>
      </c>
      <c r="I206" s="6">
        <v>43</v>
      </c>
      <c r="J206" s="6">
        <v>45</v>
      </c>
      <c r="K206" s="7">
        <v>0.92275902079791672</v>
      </c>
      <c r="L206" s="7">
        <v>0.97070531127728232</v>
      </c>
      <c r="M206" s="7">
        <v>0.95117973241217535</v>
      </c>
      <c r="N206" s="8">
        <v>23990</v>
      </c>
      <c r="O206" s="7">
        <f t="shared" si="7"/>
        <v>0.98513614953629736</v>
      </c>
    </row>
    <row r="207" spans="1:15">
      <c r="A207" s="3" t="s">
        <v>241</v>
      </c>
      <c r="B207" s="4">
        <v>45485</v>
      </c>
      <c r="C207" s="5">
        <f t="shared" si="6"/>
        <v>45474</v>
      </c>
      <c r="D207" s="3" t="s">
        <v>43</v>
      </c>
      <c r="E207" s="2" t="s">
        <v>44</v>
      </c>
      <c r="F207" s="2" t="s">
        <v>28</v>
      </c>
      <c r="G207" s="2" t="s">
        <v>29</v>
      </c>
      <c r="H207" s="3" t="s">
        <v>45</v>
      </c>
      <c r="I207" s="6">
        <v>51</v>
      </c>
      <c r="J207" s="6">
        <v>48</v>
      </c>
      <c r="K207" s="7">
        <v>0.97365581406812773</v>
      </c>
      <c r="L207" s="7">
        <v>0.98674215415761135</v>
      </c>
      <c r="M207" s="7">
        <v>0.87309993470960545</v>
      </c>
      <c r="N207" s="8">
        <v>18900</v>
      </c>
      <c r="O207" s="7">
        <f t="shared" si="7"/>
        <v>0.94251585181788888</v>
      </c>
    </row>
    <row r="208" spans="1:15">
      <c r="A208" s="3" t="s">
        <v>242</v>
      </c>
      <c r="B208" s="4">
        <v>45488</v>
      </c>
      <c r="C208" s="5">
        <f t="shared" si="6"/>
        <v>45474</v>
      </c>
      <c r="D208" s="3" t="s">
        <v>34</v>
      </c>
      <c r="E208" s="2" t="s">
        <v>35</v>
      </c>
      <c r="F208" s="2" t="s">
        <v>36</v>
      </c>
      <c r="G208" s="2" t="s">
        <v>37</v>
      </c>
      <c r="H208" s="3" t="s">
        <v>20</v>
      </c>
      <c r="I208" s="6">
        <v>31</v>
      </c>
      <c r="J208" s="6">
        <v>33</v>
      </c>
      <c r="K208" s="7">
        <v>0.93812072296839422</v>
      </c>
      <c r="L208" s="7">
        <v>0.94402512006479145</v>
      </c>
      <c r="M208" s="7">
        <v>0.96018131009505103</v>
      </c>
      <c r="N208" s="8">
        <v>15770</v>
      </c>
      <c r="O208" s="7">
        <f t="shared" si="7"/>
        <v>0.99397666238373072</v>
      </c>
    </row>
    <row r="209" spans="1:15">
      <c r="A209" s="3" t="s">
        <v>243</v>
      </c>
      <c r="B209" s="4">
        <v>45489</v>
      </c>
      <c r="C209" s="5">
        <f t="shared" si="6"/>
        <v>45474</v>
      </c>
      <c r="D209" s="3" t="s">
        <v>16</v>
      </c>
      <c r="E209" s="2" t="s">
        <v>17</v>
      </c>
      <c r="F209" s="2" t="s">
        <v>18</v>
      </c>
      <c r="G209" s="2" t="s">
        <v>19</v>
      </c>
      <c r="H209" s="3" t="s">
        <v>20</v>
      </c>
      <c r="I209" s="6">
        <v>38</v>
      </c>
      <c r="J209" s="6">
        <v>43</v>
      </c>
      <c r="K209" s="7">
        <v>0.96215316184009325</v>
      </c>
      <c r="L209" s="7">
        <v>0.97088134418737182</v>
      </c>
      <c r="M209" s="7">
        <v>0.9127727167860169</v>
      </c>
      <c r="N209" s="8">
        <v>22950</v>
      </c>
      <c r="O209" s="7">
        <f t="shared" si="7"/>
        <v>1.0213566143927009</v>
      </c>
    </row>
    <row r="210" spans="1:15">
      <c r="A210" s="3" t="s">
        <v>244</v>
      </c>
      <c r="B210" s="4">
        <v>45490</v>
      </c>
      <c r="C210" s="5">
        <f t="shared" si="6"/>
        <v>45474</v>
      </c>
      <c r="D210" s="3" t="s">
        <v>26</v>
      </c>
      <c r="E210" s="2" t="s">
        <v>27</v>
      </c>
      <c r="F210" s="2" t="s">
        <v>28</v>
      </c>
      <c r="G210" s="2" t="s">
        <v>29</v>
      </c>
      <c r="H210" s="3" t="s">
        <v>20</v>
      </c>
      <c r="I210" s="6">
        <v>37</v>
      </c>
      <c r="J210" s="6">
        <v>35</v>
      </c>
      <c r="K210" s="7">
        <v>0.91658337701924364</v>
      </c>
      <c r="L210" s="7">
        <v>0.97216031681770632</v>
      </c>
      <c r="M210" s="7">
        <v>0.89296278103458493</v>
      </c>
      <c r="N210" s="8">
        <v>13150</v>
      </c>
      <c r="O210" s="7">
        <f t="shared" si="7"/>
        <v>0.93194082636276221</v>
      </c>
    </row>
    <row r="211" spans="1:15">
      <c r="A211" s="3" t="s">
        <v>245</v>
      </c>
      <c r="B211" s="4">
        <v>45490</v>
      </c>
      <c r="C211" s="5">
        <f t="shared" si="6"/>
        <v>45474</v>
      </c>
      <c r="D211" s="3" t="s">
        <v>39</v>
      </c>
      <c r="E211" s="2" t="s">
        <v>40</v>
      </c>
      <c r="F211" s="2" t="s">
        <v>36</v>
      </c>
      <c r="G211" s="2" t="s">
        <v>37</v>
      </c>
      <c r="H211" s="3" t="s">
        <v>24</v>
      </c>
      <c r="I211" s="6">
        <v>38</v>
      </c>
      <c r="J211" s="6">
        <v>38</v>
      </c>
      <c r="K211" s="7">
        <v>0.96299636891705553</v>
      </c>
      <c r="L211" s="7">
        <v>0.96508344263068635</v>
      </c>
      <c r="M211" s="7">
        <v>0.93502419037840767</v>
      </c>
      <c r="N211" s="8">
        <v>16710</v>
      </c>
      <c r="O211" s="7">
        <f t="shared" si="7"/>
        <v>0.9725164466995484</v>
      </c>
    </row>
    <row r="212" spans="1:15">
      <c r="A212" s="3" t="s">
        <v>246</v>
      </c>
      <c r="B212" s="4">
        <v>45492</v>
      </c>
      <c r="C212" s="5">
        <f t="shared" si="6"/>
        <v>45474</v>
      </c>
      <c r="D212" s="3" t="s">
        <v>39</v>
      </c>
      <c r="E212" s="2" t="s">
        <v>40</v>
      </c>
      <c r="F212" s="2" t="s">
        <v>36</v>
      </c>
      <c r="G212" s="2" t="s">
        <v>37</v>
      </c>
      <c r="H212" s="3" t="s">
        <v>24</v>
      </c>
      <c r="I212" s="6">
        <v>50</v>
      </c>
      <c r="J212" s="6">
        <v>54</v>
      </c>
      <c r="K212" s="7">
        <v>0.91557944826959348</v>
      </c>
      <c r="L212" s="7">
        <v>1</v>
      </c>
      <c r="M212" s="7">
        <v>0.995</v>
      </c>
      <c r="N212" s="8">
        <v>27840</v>
      </c>
      <c r="O212" s="7">
        <f t="shared" si="7"/>
        <v>1.0098948620673984</v>
      </c>
    </row>
    <row r="213" spans="1:15">
      <c r="A213" s="3" t="s">
        <v>247</v>
      </c>
      <c r="B213" s="4">
        <v>45495</v>
      </c>
      <c r="C213" s="5">
        <f t="shared" si="6"/>
        <v>45474</v>
      </c>
      <c r="D213" s="3" t="s">
        <v>16</v>
      </c>
      <c r="E213" s="2" t="s">
        <v>17</v>
      </c>
      <c r="F213" s="2" t="s">
        <v>18</v>
      </c>
      <c r="G213" s="2" t="s">
        <v>19</v>
      </c>
      <c r="H213" s="3" t="s">
        <v>20</v>
      </c>
      <c r="I213" s="6">
        <v>30</v>
      </c>
      <c r="J213" s="6">
        <v>28</v>
      </c>
      <c r="K213" s="7">
        <v>0.91527940839662203</v>
      </c>
      <c r="L213" s="7">
        <v>0.97124964603484354</v>
      </c>
      <c r="M213" s="7">
        <v>0.97169292665524054</v>
      </c>
      <c r="N213" s="8">
        <v>15220</v>
      </c>
      <c r="O213" s="7">
        <f t="shared" si="7"/>
        <v>0.94217921766876345</v>
      </c>
    </row>
    <row r="214" spans="1:15">
      <c r="A214" s="3" t="s">
        <v>248</v>
      </c>
      <c r="B214" s="4">
        <v>45495</v>
      </c>
      <c r="C214" s="5">
        <f t="shared" si="6"/>
        <v>45474</v>
      </c>
      <c r="D214" s="3" t="s">
        <v>26</v>
      </c>
      <c r="E214" s="2" t="s">
        <v>27</v>
      </c>
      <c r="F214" s="2" t="s">
        <v>28</v>
      </c>
      <c r="G214" s="2" t="s">
        <v>29</v>
      </c>
      <c r="H214" s="3" t="s">
        <v>20</v>
      </c>
      <c r="I214" s="6">
        <v>32</v>
      </c>
      <c r="J214" s="6">
        <v>32</v>
      </c>
      <c r="K214" s="7">
        <v>0.90390728519771346</v>
      </c>
      <c r="L214" s="7">
        <v>0.91538107988634643</v>
      </c>
      <c r="M214" s="7">
        <v>0.89817905185481639</v>
      </c>
      <c r="N214" s="8">
        <v>11320</v>
      </c>
      <c r="O214" s="7">
        <f t="shared" si="7"/>
        <v>0.94291979365334366</v>
      </c>
    </row>
    <row r="215" spans="1:15">
      <c r="A215" s="3" t="s">
        <v>249</v>
      </c>
      <c r="B215" s="4">
        <v>45497</v>
      </c>
      <c r="C215" s="5">
        <f t="shared" si="6"/>
        <v>45474</v>
      </c>
      <c r="D215" s="3" t="s">
        <v>43</v>
      </c>
      <c r="E215" s="2" t="s">
        <v>44</v>
      </c>
      <c r="F215" s="2" t="s">
        <v>28</v>
      </c>
      <c r="G215" s="2" t="s">
        <v>29</v>
      </c>
      <c r="H215" s="3" t="s">
        <v>45</v>
      </c>
      <c r="I215" s="6">
        <v>53</v>
      </c>
      <c r="J215" s="6">
        <v>59</v>
      </c>
      <c r="K215" s="7">
        <v>0.98490519554268774</v>
      </c>
      <c r="L215" s="7">
        <v>1</v>
      </c>
      <c r="M215" s="7">
        <v>0.92564081256200281</v>
      </c>
      <c r="N215" s="8">
        <v>24130</v>
      </c>
      <c r="O215" s="7">
        <f t="shared" si="7"/>
        <v>1.026637480265997</v>
      </c>
    </row>
    <row r="216" spans="1:15">
      <c r="A216" s="3" t="s">
        <v>250</v>
      </c>
      <c r="B216" s="4">
        <v>45497</v>
      </c>
      <c r="C216" s="5">
        <f t="shared" si="6"/>
        <v>45474</v>
      </c>
      <c r="D216" s="3" t="s">
        <v>43</v>
      </c>
      <c r="E216" s="2" t="s">
        <v>44</v>
      </c>
      <c r="F216" s="2" t="s">
        <v>28</v>
      </c>
      <c r="G216" s="2" t="s">
        <v>29</v>
      </c>
      <c r="H216" s="3" t="s">
        <v>45</v>
      </c>
      <c r="I216" s="6">
        <v>34</v>
      </c>
      <c r="J216" s="6">
        <v>33</v>
      </c>
      <c r="K216" s="7">
        <v>0.93648215746171548</v>
      </c>
      <c r="L216" s="7">
        <v>0.96484437734956763</v>
      </c>
      <c r="M216" s="7">
        <v>0.95331886076344763</v>
      </c>
      <c r="N216" s="8">
        <v>15680</v>
      </c>
      <c r="O216" s="7">
        <f t="shared" si="7"/>
        <v>0.95774626223820047</v>
      </c>
    </row>
    <row r="217" spans="1:15">
      <c r="A217" s="3" t="s">
        <v>251</v>
      </c>
      <c r="B217" s="4">
        <v>45497</v>
      </c>
      <c r="C217" s="5">
        <f t="shared" si="6"/>
        <v>45474</v>
      </c>
      <c r="D217" s="3" t="s">
        <v>43</v>
      </c>
      <c r="E217" s="2" t="s">
        <v>44</v>
      </c>
      <c r="F217" s="2" t="s">
        <v>28</v>
      </c>
      <c r="G217" s="2" t="s">
        <v>29</v>
      </c>
      <c r="H217" s="3" t="s">
        <v>45</v>
      </c>
      <c r="I217" s="6">
        <v>47</v>
      </c>
      <c r="J217" s="6">
        <v>44</v>
      </c>
      <c r="K217" s="7">
        <v>0.97354059998054276</v>
      </c>
      <c r="L217" s="7">
        <v>0.99743967240567943</v>
      </c>
      <c r="M217" s="7">
        <v>0.9412100005815961</v>
      </c>
      <c r="N217" s="8">
        <v>18280</v>
      </c>
      <c r="O217" s="7">
        <f t="shared" si="7"/>
        <v>0.95571118607868977</v>
      </c>
    </row>
    <row r="218" spans="1:15">
      <c r="A218" s="3" t="s">
        <v>252</v>
      </c>
      <c r="B218" s="4">
        <v>45499</v>
      </c>
      <c r="C218" s="5">
        <f t="shared" si="6"/>
        <v>45474</v>
      </c>
      <c r="D218" s="3" t="s">
        <v>16</v>
      </c>
      <c r="E218" s="2" t="s">
        <v>17</v>
      </c>
      <c r="F218" s="2" t="s">
        <v>18</v>
      </c>
      <c r="G218" s="2" t="s">
        <v>19</v>
      </c>
      <c r="H218" s="3" t="s">
        <v>20</v>
      </c>
      <c r="I218" s="6">
        <v>37</v>
      </c>
      <c r="J218" s="6">
        <v>44</v>
      </c>
      <c r="K218" s="7">
        <v>0.92668349163279495</v>
      </c>
      <c r="L218" s="7">
        <v>0.97132225429570496</v>
      </c>
      <c r="M218" s="7">
        <v>0.90776754213829758</v>
      </c>
      <c r="N218" s="8">
        <v>22730</v>
      </c>
      <c r="O218" s="7">
        <f t="shared" si="7"/>
        <v>1.0345983951558897</v>
      </c>
    </row>
    <row r="219" spans="1:15">
      <c r="A219" s="3" t="s">
        <v>253</v>
      </c>
      <c r="B219" s="4">
        <v>45499</v>
      </c>
      <c r="C219" s="5">
        <f t="shared" si="6"/>
        <v>45474</v>
      </c>
      <c r="D219" s="3" t="s">
        <v>26</v>
      </c>
      <c r="E219" s="2" t="s">
        <v>27</v>
      </c>
      <c r="F219" s="2" t="s">
        <v>28</v>
      </c>
      <c r="G219" s="2" t="s">
        <v>29</v>
      </c>
      <c r="H219" s="3" t="s">
        <v>20</v>
      </c>
      <c r="I219" s="6">
        <v>38</v>
      </c>
      <c r="J219" s="6">
        <v>39</v>
      </c>
      <c r="K219" s="7">
        <v>0.92857605451798553</v>
      </c>
      <c r="L219" s="7">
        <v>0.95907506203522175</v>
      </c>
      <c r="M219" s="7">
        <v>0.89535517843491841</v>
      </c>
      <c r="N219" s="8">
        <v>17080</v>
      </c>
      <c r="O219" s="7">
        <f t="shared" si="7"/>
        <v>0.96560262441123712</v>
      </c>
    </row>
    <row r="220" spans="1:15">
      <c r="A220" s="3" t="s">
        <v>254</v>
      </c>
      <c r="B220" s="4">
        <v>45499</v>
      </c>
      <c r="C220" s="5">
        <f t="shared" si="6"/>
        <v>45474</v>
      </c>
      <c r="D220" s="3" t="s">
        <v>34</v>
      </c>
      <c r="E220" s="2" t="s">
        <v>35</v>
      </c>
      <c r="F220" s="2" t="s">
        <v>36</v>
      </c>
      <c r="G220" s="2" t="s">
        <v>37</v>
      </c>
      <c r="H220" s="3" t="s">
        <v>20</v>
      </c>
      <c r="I220" s="6">
        <v>39</v>
      </c>
      <c r="J220" s="6">
        <v>37</v>
      </c>
      <c r="K220" s="7">
        <v>0.93812175477350968</v>
      </c>
      <c r="L220" s="7">
        <v>0.97944542280500368</v>
      </c>
      <c r="M220" s="7">
        <v>0.90652921798308572</v>
      </c>
      <c r="N220" s="8">
        <v>14910</v>
      </c>
      <c r="O220" s="7">
        <f t="shared" si="7"/>
        <v>0.94224027519792464</v>
      </c>
    </row>
    <row r="221" spans="1:15">
      <c r="A221" s="3" t="s">
        <v>255</v>
      </c>
      <c r="B221" s="4">
        <v>45499</v>
      </c>
      <c r="C221" s="5">
        <f t="shared" si="6"/>
        <v>45474</v>
      </c>
      <c r="D221" s="3" t="s">
        <v>39</v>
      </c>
      <c r="E221" s="2" t="s">
        <v>40</v>
      </c>
      <c r="F221" s="2" t="s">
        <v>36</v>
      </c>
      <c r="G221" s="2" t="s">
        <v>37</v>
      </c>
      <c r="H221" s="3" t="s">
        <v>24</v>
      </c>
      <c r="I221" s="6">
        <v>28</v>
      </c>
      <c r="J221" s="6">
        <v>29</v>
      </c>
      <c r="K221" s="7">
        <v>0.94776680047553152</v>
      </c>
      <c r="L221" s="7">
        <v>0.94578873491161997</v>
      </c>
      <c r="M221" s="7">
        <v>0.9836434794148512</v>
      </c>
      <c r="N221" s="8">
        <v>14190</v>
      </c>
      <c r="O221" s="7">
        <f t="shared" si="7"/>
        <v>0.98982442052431052</v>
      </c>
    </row>
    <row r="222" spans="1:15">
      <c r="A222" s="3" t="s">
        <v>256</v>
      </c>
      <c r="B222" s="4">
        <v>45499</v>
      </c>
      <c r="C222" s="5">
        <f t="shared" si="6"/>
        <v>45474</v>
      </c>
      <c r="D222" s="3" t="s">
        <v>39</v>
      </c>
      <c r="E222" s="2" t="s">
        <v>40</v>
      </c>
      <c r="F222" s="2" t="s">
        <v>36</v>
      </c>
      <c r="G222" s="2" t="s">
        <v>37</v>
      </c>
      <c r="H222" s="3" t="s">
        <v>24</v>
      </c>
      <c r="I222" s="6">
        <v>33</v>
      </c>
      <c r="J222" s="6">
        <v>29</v>
      </c>
      <c r="K222" s="7">
        <v>0.93909654914052187</v>
      </c>
      <c r="L222" s="7">
        <v>0.9719315208305318</v>
      </c>
      <c r="M222" s="7">
        <v>0.95073331232643166</v>
      </c>
      <c r="N222" s="8">
        <v>13600</v>
      </c>
      <c r="O222" s="7">
        <f t="shared" si="7"/>
        <v>0.9222256793901481</v>
      </c>
    </row>
    <row r="223" spans="1:15">
      <c r="A223" s="3" t="s">
        <v>257</v>
      </c>
      <c r="B223" s="4">
        <v>45502</v>
      </c>
      <c r="C223" s="5">
        <f t="shared" si="6"/>
        <v>45474</v>
      </c>
      <c r="D223" s="3" t="s">
        <v>22</v>
      </c>
      <c r="E223" s="2" t="s">
        <v>23</v>
      </c>
      <c r="F223" s="2" t="s">
        <v>18</v>
      </c>
      <c r="G223" s="2" t="s">
        <v>19</v>
      </c>
      <c r="H223" s="3" t="s">
        <v>24</v>
      </c>
      <c r="I223" s="6">
        <v>46</v>
      </c>
      <c r="J223" s="6">
        <v>47</v>
      </c>
      <c r="K223" s="7">
        <v>0.91178176295917968</v>
      </c>
      <c r="L223" s="7">
        <v>0.95532315831067471</v>
      </c>
      <c r="M223" s="7">
        <v>0.95946256893457704</v>
      </c>
      <c r="N223" s="8">
        <v>28400</v>
      </c>
      <c r="O223" s="7">
        <f t="shared" si="7"/>
        <v>0.97183208044722469</v>
      </c>
    </row>
    <row r="224" spans="1:15">
      <c r="A224" s="3" t="s">
        <v>258</v>
      </c>
      <c r="B224" s="4">
        <v>45503</v>
      </c>
      <c r="C224" s="5">
        <f t="shared" si="6"/>
        <v>45474</v>
      </c>
      <c r="D224" s="3" t="s">
        <v>22</v>
      </c>
      <c r="E224" s="2" t="s">
        <v>23</v>
      </c>
      <c r="F224" s="2" t="s">
        <v>18</v>
      </c>
      <c r="G224" s="2" t="s">
        <v>19</v>
      </c>
      <c r="H224" s="3" t="s">
        <v>24</v>
      </c>
      <c r="I224" s="6">
        <v>45</v>
      </c>
      <c r="J224" s="6">
        <v>43</v>
      </c>
      <c r="K224" s="7">
        <v>0.93877019087304392</v>
      </c>
      <c r="L224" s="7">
        <v>0.97769938737634687</v>
      </c>
      <c r="M224" s="7">
        <v>0.98273916066674105</v>
      </c>
      <c r="N224" s="8">
        <v>22490</v>
      </c>
      <c r="O224" s="7">
        <f t="shared" si="7"/>
        <v>0.96011751018028346</v>
      </c>
    </row>
    <row r="225" spans="1:15">
      <c r="A225" s="3" t="s">
        <v>259</v>
      </c>
      <c r="B225" s="4">
        <v>45506</v>
      </c>
      <c r="C225" s="5">
        <f t="shared" si="6"/>
        <v>45505</v>
      </c>
      <c r="D225" s="3" t="s">
        <v>26</v>
      </c>
      <c r="E225" s="2" t="s">
        <v>27</v>
      </c>
      <c r="F225" s="2" t="s">
        <v>28</v>
      </c>
      <c r="G225" s="2" t="s">
        <v>29</v>
      </c>
      <c r="H225" s="3" t="s">
        <v>20</v>
      </c>
      <c r="I225" s="6">
        <v>54</v>
      </c>
      <c r="J225" s="6">
        <v>46</v>
      </c>
      <c r="K225" s="7">
        <v>0.91694928297551259</v>
      </c>
      <c r="L225" s="7">
        <v>0.9326742027751086</v>
      </c>
      <c r="M225" s="7">
        <v>0.88729575682668238</v>
      </c>
      <c r="N225" s="8">
        <v>16220</v>
      </c>
      <c r="O225" s="7">
        <f t="shared" si="7"/>
        <v>0.88733834326622174</v>
      </c>
    </row>
    <row r="226" spans="1:15">
      <c r="A226" s="3" t="s">
        <v>260</v>
      </c>
      <c r="B226" s="4">
        <v>45506</v>
      </c>
      <c r="C226" s="5">
        <f t="shared" si="6"/>
        <v>45505</v>
      </c>
      <c r="D226" s="3" t="s">
        <v>26</v>
      </c>
      <c r="E226" s="2" t="s">
        <v>27</v>
      </c>
      <c r="F226" s="2" t="s">
        <v>28</v>
      </c>
      <c r="G226" s="2" t="s">
        <v>29</v>
      </c>
      <c r="H226" s="3" t="s">
        <v>20</v>
      </c>
      <c r="I226" s="6">
        <v>41</v>
      </c>
      <c r="J226" s="6">
        <v>38</v>
      </c>
      <c r="K226" s="7">
        <v>0.93572584559025074</v>
      </c>
      <c r="L226" s="7">
        <v>0.96524450472921997</v>
      </c>
      <c r="M226" s="7">
        <v>0.87110222738035181</v>
      </c>
      <c r="N226" s="8">
        <v>13620</v>
      </c>
      <c r="O226" s="7">
        <f t="shared" si="7"/>
        <v>0.92367028990008926</v>
      </c>
    </row>
    <row r="227" spans="1:15">
      <c r="A227" s="3" t="s">
        <v>261</v>
      </c>
      <c r="B227" s="4">
        <v>45506</v>
      </c>
      <c r="C227" s="5">
        <f t="shared" si="6"/>
        <v>45505</v>
      </c>
      <c r="D227" s="3" t="s">
        <v>34</v>
      </c>
      <c r="E227" s="2" t="s">
        <v>35</v>
      </c>
      <c r="F227" s="2" t="s">
        <v>36</v>
      </c>
      <c r="G227" s="2" t="s">
        <v>37</v>
      </c>
      <c r="H227" s="3" t="s">
        <v>20</v>
      </c>
      <c r="I227" s="6">
        <v>50</v>
      </c>
      <c r="J227" s="6">
        <v>44</v>
      </c>
      <c r="K227" s="7">
        <v>0.96291924444734867</v>
      </c>
      <c r="L227" s="7">
        <v>0.97286864727674871</v>
      </c>
      <c r="M227" s="7">
        <v>0.91442926178370743</v>
      </c>
      <c r="N227" s="8">
        <v>19060</v>
      </c>
      <c r="O227" s="7">
        <f t="shared" si="7"/>
        <v>0.92154596056009097</v>
      </c>
    </row>
    <row r="228" spans="1:15">
      <c r="A228" s="3" t="s">
        <v>262</v>
      </c>
      <c r="B228" s="4">
        <v>45506</v>
      </c>
      <c r="C228" s="5">
        <f t="shared" si="6"/>
        <v>45505</v>
      </c>
      <c r="D228" s="3" t="s">
        <v>34</v>
      </c>
      <c r="E228" s="2" t="s">
        <v>35</v>
      </c>
      <c r="F228" s="2" t="s">
        <v>36</v>
      </c>
      <c r="G228" s="2" t="s">
        <v>37</v>
      </c>
      <c r="H228" s="3" t="s">
        <v>20</v>
      </c>
      <c r="I228" s="6">
        <v>35</v>
      </c>
      <c r="J228" s="6">
        <v>32</v>
      </c>
      <c r="K228" s="7">
        <v>0.90933925302983387</v>
      </c>
      <c r="L228" s="7">
        <v>0.96662431411416305</v>
      </c>
      <c r="M228" s="7">
        <v>0.8980547297076249</v>
      </c>
      <c r="N228" s="8">
        <v>12980</v>
      </c>
      <c r="O228" s="7">
        <f t="shared" si="7"/>
        <v>0.91765369203039371</v>
      </c>
    </row>
    <row r="229" spans="1:15">
      <c r="A229" s="3" t="s">
        <v>263</v>
      </c>
      <c r="B229" s="4">
        <v>45506</v>
      </c>
      <c r="C229" s="5">
        <f t="shared" si="6"/>
        <v>45505</v>
      </c>
      <c r="D229" s="3" t="s">
        <v>34</v>
      </c>
      <c r="E229" s="2" t="s">
        <v>35</v>
      </c>
      <c r="F229" s="2" t="s">
        <v>36</v>
      </c>
      <c r="G229" s="2" t="s">
        <v>37</v>
      </c>
      <c r="H229" s="3" t="s">
        <v>20</v>
      </c>
      <c r="I229" s="6">
        <v>52</v>
      </c>
      <c r="J229" s="6">
        <v>50</v>
      </c>
      <c r="K229" s="7">
        <v>0.89869544460160866</v>
      </c>
      <c r="L229" s="7">
        <v>0.97717751678057019</v>
      </c>
      <c r="M229" s="7">
        <v>0.97973219038061554</v>
      </c>
      <c r="N229" s="8">
        <v>24730</v>
      </c>
      <c r="O229" s="7">
        <f t="shared" si="7"/>
        <v>0.95181231135899547</v>
      </c>
    </row>
    <row r="230" spans="1:15">
      <c r="A230" s="3" t="s">
        <v>264</v>
      </c>
      <c r="B230" s="4">
        <v>45506</v>
      </c>
      <c r="C230" s="5">
        <f t="shared" si="6"/>
        <v>45505</v>
      </c>
      <c r="D230" s="3" t="s">
        <v>39</v>
      </c>
      <c r="E230" s="2" t="s">
        <v>40</v>
      </c>
      <c r="F230" s="2" t="s">
        <v>36</v>
      </c>
      <c r="G230" s="2" t="s">
        <v>37</v>
      </c>
      <c r="H230" s="3" t="s">
        <v>24</v>
      </c>
      <c r="I230" s="6">
        <v>51</v>
      </c>
      <c r="J230" s="6">
        <v>52</v>
      </c>
      <c r="K230" s="7">
        <v>0.95710738483441349</v>
      </c>
      <c r="L230" s="7">
        <v>0.96622222938717439</v>
      </c>
      <c r="M230" s="7">
        <v>0.96695716298621481</v>
      </c>
      <c r="N230" s="8">
        <v>25060</v>
      </c>
      <c r="O230" s="7">
        <f t="shared" si="7"/>
        <v>0.9854447504688244</v>
      </c>
    </row>
    <row r="231" spans="1:15">
      <c r="A231" s="3" t="s">
        <v>265</v>
      </c>
      <c r="B231" s="4">
        <v>45511</v>
      </c>
      <c r="C231" s="5">
        <f t="shared" si="6"/>
        <v>45505</v>
      </c>
      <c r="D231" s="3" t="s">
        <v>39</v>
      </c>
      <c r="E231" s="2" t="s">
        <v>40</v>
      </c>
      <c r="F231" s="2" t="s">
        <v>36</v>
      </c>
      <c r="G231" s="2" t="s">
        <v>37</v>
      </c>
      <c r="H231" s="3" t="s">
        <v>24</v>
      </c>
      <c r="I231" s="6">
        <v>47</v>
      </c>
      <c r="J231" s="6">
        <v>48</v>
      </c>
      <c r="K231" s="7">
        <v>0.995</v>
      </c>
      <c r="L231" s="7">
        <v>0.97080640850225275</v>
      </c>
      <c r="M231" s="7">
        <v>0.97076325953534626</v>
      </c>
      <c r="N231" s="8">
        <v>25530</v>
      </c>
      <c r="O231" s="7">
        <f t="shared" si="7"/>
        <v>0.99703425148027947</v>
      </c>
    </row>
    <row r="232" spans="1:15">
      <c r="A232" s="3" t="s">
        <v>266</v>
      </c>
      <c r="B232" s="4">
        <v>45512</v>
      </c>
      <c r="C232" s="5">
        <f t="shared" si="6"/>
        <v>45505</v>
      </c>
      <c r="D232" s="3" t="s">
        <v>22</v>
      </c>
      <c r="E232" s="2" t="s">
        <v>23</v>
      </c>
      <c r="F232" s="2" t="s">
        <v>18</v>
      </c>
      <c r="G232" s="2" t="s">
        <v>19</v>
      </c>
      <c r="H232" s="3" t="s">
        <v>24</v>
      </c>
      <c r="I232" s="6">
        <v>54</v>
      </c>
      <c r="J232" s="6">
        <v>58</v>
      </c>
      <c r="K232" s="7">
        <v>0.96903375679433568</v>
      </c>
      <c r="L232" s="7">
        <v>0.94536478957481274</v>
      </c>
      <c r="M232" s="7">
        <v>0.93209773922385353</v>
      </c>
      <c r="N232" s="8">
        <v>34680</v>
      </c>
      <c r="O232" s="7">
        <f t="shared" si="7"/>
        <v>1.0001123351092063</v>
      </c>
    </row>
    <row r="233" spans="1:15">
      <c r="A233" s="3" t="s">
        <v>267</v>
      </c>
      <c r="B233" s="4">
        <v>45513</v>
      </c>
      <c r="C233" s="5">
        <f t="shared" si="6"/>
        <v>45505</v>
      </c>
      <c r="D233" s="3" t="s">
        <v>34</v>
      </c>
      <c r="E233" s="2" t="s">
        <v>35</v>
      </c>
      <c r="F233" s="2" t="s">
        <v>36</v>
      </c>
      <c r="G233" s="2" t="s">
        <v>37</v>
      </c>
      <c r="H233" s="3" t="s">
        <v>20</v>
      </c>
      <c r="I233" s="6">
        <v>32</v>
      </c>
      <c r="J233" s="6">
        <v>29</v>
      </c>
      <c r="K233" s="7">
        <v>0.94549191642020758</v>
      </c>
      <c r="L233" s="7">
        <v>0.96322574028457775</v>
      </c>
      <c r="M233" s="7">
        <v>0.93996812800412932</v>
      </c>
      <c r="N233" s="8">
        <v>14030</v>
      </c>
      <c r="O233" s="7">
        <f t="shared" si="7"/>
        <v>0.9313504657485645</v>
      </c>
    </row>
    <row r="234" spans="1:15">
      <c r="A234" s="3" t="s">
        <v>268</v>
      </c>
      <c r="B234" s="4">
        <v>45516</v>
      </c>
      <c r="C234" s="5">
        <f t="shared" si="6"/>
        <v>45505</v>
      </c>
      <c r="D234" s="3" t="s">
        <v>39</v>
      </c>
      <c r="E234" s="2" t="s">
        <v>40</v>
      </c>
      <c r="F234" s="2" t="s">
        <v>36</v>
      </c>
      <c r="G234" s="2" t="s">
        <v>37</v>
      </c>
      <c r="H234" s="3" t="s">
        <v>24</v>
      </c>
      <c r="I234" s="6">
        <v>28</v>
      </c>
      <c r="J234" s="6">
        <v>33</v>
      </c>
      <c r="K234" s="7">
        <v>0.93471023809994169</v>
      </c>
      <c r="L234" s="7">
        <v>1</v>
      </c>
      <c r="M234" s="7">
        <v>0.995</v>
      </c>
      <c r="N234" s="8">
        <v>16060</v>
      </c>
      <c r="O234" s="7">
        <f t="shared" si="7"/>
        <v>1.0541061309535569</v>
      </c>
    </row>
    <row r="235" spans="1:15">
      <c r="A235" s="3" t="s">
        <v>269</v>
      </c>
      <c r="B235" s="4">
        <v>45517</v>
      </c>
      <c r="C235" s="5">
        <f t="shared" si="6"/>
        <v>45505</v>
      </c>
      <c r="D235" s="3" t="s">
        <v>16</v>
      </c>
      <c r="E235" s="2" t="s">
        <v>17</v>
      </c>
      <c r="F235" s="2" t="s">
        <v>18</v>
      </c>
      <c r="G235" s="2" t="s">
        <v>19</v>
      </c>
      <c r="H235" s="3" t="s">
        <v>20</v>
      </c>
      <c r="I235" s="6">
        <v>30</v>
      </c>
      <c r="J235" s="6">
        <v>29</v>
      </c>
      <c r="K235" s="7">
        <v>0.94637229704831916</v>
      </c>
      <c r="L235" s="7">
        <v>0.97778113486842078</v>
      </c>
      <c r="M235" s="7">
        <v>0.9204045595679724</v>
      </c>
      <c r="N235" s="8">
        <v>18610</v>
      </c>
      <c r="O235" s="7">
        <f t="shared" si="7"/>
        <v>0.95400782307260412</v>
      </c>
    </row>
    <row r="236" spans="1:15">
      <c r="A236" s="3" t="s">
        <v>270</v>
      </c>
      <c r="B236" s="4">
        <v>45517</v>
      </c>
      <c r="C236" s="5">
        <f t="shared" si="6"/>
        <v>45505</v>
      </c>
      <c r="D236" s="3" t="s">
        <v>43</v>
      </c>
      <c r="E236" s="2" t="s">
        <v>44</v>
      </c>
      <c r="F236" s="2" t="s">
        <v>28</v>
      </c>
      <c r="G236" s="2" t="s">
        <v>29</v>
      </c>
      <c r="H236" s="3" t="s">
        <v>45</v>
      </c>
      <c r="I236" s="6">
        <v>32</v>
      </c>
      <c r="J236" s="6">
        <v>32</v>
      </c>
      <c r="K236" s="7">
        <v>0.90653620645105149</v>
      </c>
      <c r="L236" s="7">
        <v>0.98880520061257959</v>
      </c>
      <c r="M236" s="7">
        <v>0.90169250785797317</v>
      </c>
      <c r="N236" s="8">
        <v>13910</v>
      </c>
      <c r="O236" s="7">
        <f t="shared" si="7"/>
        <v>0.95529333327624433</v>
      </c>
    </row>
    <row r="237" spans="1:15">
      <c r="A237" s="3" t="s">
        <v>271</v>
      </c>
      <c r="B237" s="4">
        <v>45517</v>
      </c>
      <c r="C237" s="5">
        <f t="shared" si="6"/>
        <v>45505</v>
      </c>
      <c r="D237" s="3" t="s">
        <v>34</v>
      </c>
      <c r="E237" s="2" t="s">
        <v>35</v>
      </c>
      <c r="F237" s="2" t="s">
        <v>36</v>
      </c>
      <c r="G237" s="2" t="s">
        <v>37</v>
      </c>
      <c r="H237" s="3" t="s">
        <v>20</v>
      </c>
      <c r="I237" s="6">
        <v>37</v>
      </c>
      <c r="J237" s="6">
        <v>37</v>
      </c>
      <c r="K237" s="7">
        <v>0.93479590941135826</v>
      </c>
      <c r="L237" s="7">
        <v>0.95245555162427331</v>
      </c>
      <c r="M237" s="7">
        <v>0.98565572162833393</v>
      </c>
      <c r="N237" s="8">
        <v>17400</v>
      </c>
      <c r="O237" s="7">
        <f t="shared" si="7"/>
        <v>0.97369845442214742</v>
      </c>
    </row>
    <row r="238" spans="1:15">
      <c r="A238" s="3" t="s">
        <v>272</v>
      </c>
      <c r="B238" s="4">
        <v>45519</v>
      </c>
      <c r="C238" s="5">
        <f t="shared" si="6"/>
        <v>45505</v>
      </c>
      <c r="D238" s="3" t="s">
        <v>26</v>
      </c>
      <c r="E238" s="2" t="s">
        <v>27</v>
      </c>
      <c r="F238" s="2" t="s">
        <v>28</v>
      </c>
      <c r="G238" s="2" t="s">
        <v>29</v>
      </c>
      <c r="H238" s="3" t="s">
        <v>20</v>
      </c>
      <c r="I238" s="6">
        <v>32</v>
      </c>
      <c r="J238" s="6">
        <v>30</v>
      </c>
      <c r="K238" s="7">
        <v>0.92512839599119434</v>
      </c>
      <c r="L238" s="7">
        <v>0.93347730483862157</v>
      </c>
      <c r="M238" s="7">
        <v>0.83143436287724848</v>
      </c>
      <c r="N238" s="8">
        <v>10680</v>
      </c>
      <c r="O238" s="7">
        <f t="shared" si="7"/>
        <v>0.91259056729904153</v>
      </c>
    </row>
    <row r="239" spans="1:15">
      <c r="A239" s="3" t="s">
        <v>273</v>
      </c>
      <c r="B239" s="4">
        <v>45519</v>
      </c>
      <c r="C239" s="5">
        <f t="shared" si="6"/>
        <v>45505</v>
      </c>
      <c r="D239" s="3" t="s">
        <v>43</v>
      </c>
      <c r="E239" s="2" t="s">
        <v>44</v>
      </c>
      <c r="F239" s="2" t="s">
        <v>28</v>
      </c>
      <c r="G239" s="2" t="s">
        <v>29</v>
      </c>
      <c r="H239" s="3" t="s">
        <v>45</v>
      </c>
      <c r="I239" s="6">
        <v>32</v>
      </c>
      <c r="J239" s="6">
        <v>33</v>
      </c>
      <c r="K239" s="7">
        <v>0.94031641510262787</v>
      </c>
      <c r="L239" s="7">
        <v>0.98136621430979731</v>
      </c>
      <c r="M239" s="7">
        <v>0.93382254205677295</v>
      </c>
      <c r="N239" s="8">
        <v>12540</v>
      </c>
      <c r="O239" s="7">
        <f t="shared" si="7"/>
        <v>0.98154854433348115</v>
      </c>
    </row>
    <row r="240" spans="1:15">
      <c r="A240" s="3" t="s">
        <v>274</v>
      </c>
      <c r="B240" s="4">
        <v>45520</v>
      </c>
      <c r="C240" s="5">
        <f t="shared" si="6"/>
        <v>45505</v>
      </c>
      <c r="D240" s="3" t="s">
        <v>22</v>
      </c>
      <c r="E240" s="2" t="s">
        <v>23</v>
      </c>
      <c r="F240" s="2" t="s">
        <v>18</v>
      </c>
      <c r="G240" s="2" t="s">
        <v>19</v>
      </c>
      <c r="H240" s="3" t="s">
        <v>24</v>
      </c>
      <c r="I240" s="6">
        <v>38</v>
      </c>
      <c r="J240" s="6">
        <v>36</v>
      </c>
      <c r="K240" s="7">
        <v>0.93692553248933697</v>
      </c>
      <c r="L240" s="7">
        <v>0.9538440706334026</v>
      </c>
      <c r="M240" s="7">
        <v>0.93030419178721679</v>
      </c>
      <c r="N240" s="8">
        <v>17660</v>
      </c>
      <c r="O240" s="7">
        <f t="shared" si="7"/>
        <v>0.94231620049584064</v>
      </c>
    </row>
    <row r="241" spans="1:15">
      <c r="A241" s="3" t="s">
        <v>275</v>
      </c>
      <c r="B241" s="4">
        <v>45520</v>
      </c>
      <c r="C241" s="5">
        <f t="shared" si="6"/>
        <v>45505</v>
      </c>
      <c r="D241" s="3" t="s">
        <v>26</v>
      </c>
      <c r="E241" s="2" t="s">
        <v>27</v>
      </c>
      <c r="F241" s="2" t="s">
        <v>28</v>
      </c>
      <c r="G241" s="2" t="s">
        <v>29</v>
      </c>
      <c r="H241" s="3" t="s">
        <v>20</v>
      </c>
      <c r="I241" s="6">
        <v>37</v>
      </c>
      <c r="J241" s="6">
        <v>35</v>
      </c>
      <c r="K241" s="7">
        <v>0.86245843713169967</v>
      </c>
      <c r="L241" s="7">
        <v>0.9423508505685344</v>
      </c>
      <c r="M241" s="7">
        <v>0.86089256495307576</v>
      </c>
      <c r="N241" s="8">
        <v>13830</v>
      </c>
      <c r="O241" s="7">
        <f t="shared" si="7"/>
        <v>0.90752412823719852</v>
      </c>
    </row>
    <row r="242" spans="1:15">
      <c r="A242" s="3" t="s">
        <v>276</v>
      </c>
      <c r="B242" s="4">
        <v>45523</v>
      </c>
      <c r="C242" s="5">
        <f t="shared" si="6"/>
        <v>45505</v>
      </c>
      <c r="D242" s="3" t="s">
        <v>34</v>
      </c>
      <c r="E242" s="2" t="s">
        <v>35</v>
      </c>
      <c r="F242" s="2" t="s">
        <v>36</v>
      </c>
      <c r="G242" s="2" t="s">
        <v>37</v>
      </c>
      <c r="H242" s="3" t="s">
        <v>20</v>
      </c>
      <c r="I242" s="6">
        <v>33</v>
      </c>
      <c r="J242" s="6">
        <v>31</v>
      </c>
      <c r="K242" s="7">
        <v>0.93257708233963843</v>
      </c>
      <c r="L242" s="7">
        <v>0.93083615673809428</v>
      </c>
      <c r="M242" s="7">
        <v>0.9405066046832018</v>
      </c>
      <c r="N242" s="8">
        <v>15140</v>
      </c>
      <c r="O242" s="7">
        <f t="shared" si="7"/>
        <v>0.93662859078983984</v>
      </c>
    </row>
    <row r="243" spans="1:15">
      <c r="A243" s="3" t="s">
        <v>277</v>
      </c>
      <c r="B243" s="4">
        <v>45525</v>
      </c>
      <c r="C243" s="5">
        <f t="shared" si="6"/>
        <v>45505</v>
      </c>
      <c r="D243" s="3" t="s">
        <v>26</v>
      </c>
      <c r="E243" s="2" t="s">
        <v>27</v>
      </c>
      <c r="F243" s="2" t="s">
        <v>28</v>
      </c>
      <c r="G243" s="2" t="s">
        <v>29</v>
      </c>
      <c r="H243" s="3" t="s">
        <v>20</v>
      </c>
      <c r="I243" s="6">
        <v>35</v>
      </c>
      <c r="J243" s="6">
        <v>34</v>
      </c>
      <c r="K243" s="7">
        <v>0.90362358489725159</v>
      </c>
      <c r="L243" s="7">
        <v>0.9330121849139037</v>
      </c>
      <c r="M243" s="7">
        <v>0.93757443483226899</v>
      </c>
      <c r="N243" s="8">
        <v>15260</v>
      </c>
      <c r="O243" s="7">
        <f t="shared" si="7"/>
        <v>0.94194403949928085</v>
      </c>
    </row>
    <row r="244" spans="1:15">
      <c r="A244" s="3" t="s">
        <v>278</v>
      </c>
      <c r="B244" s="4">
        <v>45525</v>
      </c>
      <c r="C244" s="5">
        <f t="shared" si="6"/>
        <v>45505</v>
      </c>
      <c r="D244" s="3" t="s">
        <v>39</v>
      </c>
      <c r="E244" s="2" t="s">
        <v>40</v>
      </c>
      <c r="F244" s="2" t="s">
        <v>36</v>
      </c>
      <c r="G244" s="2" t="s">
        <v>37</v>
      </c>
      <c r="H244" s="3" t="s">
        <v>24</v>
      </c>
      <c r="I244" s="6">
        <v>35</v>
      </c>
      <c r="J244" s="6">
        <v>37</v>
      </c>
      <c r="K244" s="7">
        <v>0.94807414145568025</v>
      </c>
      <c r="L244" s="7">
        <v>0.97760017282409362</v>
      </c>
      <c r="M244" s="7">
        <v>0.93414055181833755</v>
      </c>
      <c r="N244" s="8">
        <v>16320</v>
      </c>
      <c r="O244" s="7">
        <f t="shared" si="7"/>
        <v>0.99334381450834452</v>
      </c>
    </row>
    <row r="245" spans="1:15">
      <c r="A245" s="3" t="s">
        <v>279</v>
      </c>
      <c r="B245" s="4">
        <v>45525</v>
      </c>
      <c r="C245" s="5">
        <f t="shared" si="6"/>
        <v>45505</v>
      </c>
      <c r="D245" s="3" t="s">
        <v>39</v>
      </c>
      <c r="E245" s="2" t="s">
        <v>40</v>
      </c>
      <c r="F245" s="2" t="s">
        <v>36</v>
      </c>
      <c r="G245" s="2" t="s">
        <v>37</v>
      </c>
      <c r="H245" s="3" t="s">
        <v>24</v>
      </c>
      <c r="I245" s="6">
        <v>36</v>
      </c>
      <c r="J245" s="6">
        <v>36</v>
      </c>
      <c r="K245" s="7">
        <v>0.97621240598528447</v>
      </c>
      <c r="L245" s="7">
        <v>0.96704547217342141</v>
      </c>
      <c r="M245" s="7">
        <v>0.98330458415213495</v>
      </c>
      <c r="N245" s="8">
        <v>16950</v>
      </c>
      <c r="O245" s="7">
        <f t="shared" si="7"/>
        <v>0.98577083915276131</v>
      </c>
    </row>
    <row r="246" spans="1:15">
      <c r="A246" s="3" t="s">
        <v>280</v>
      </c>
      <c r="B246" s="4">
        <v>45527</v>
      </c>
      <c r="C246" s="5">
        <f t="shared" si="6"/>
        <v>45505</v>
      </c>
      <c r="D246" s="3" t="s">
        <v>16</v>
      </c>
      <c r="E246" s="2" t="s">
        <v>17</v>
      </c>
      <c r="F246" s="2" t="s">
        <v>18</v>
      </c>
      <c r="G246" s="2" t="s">
        <v>19</v>
      </c>
      <c r="H246" s="3" t="s">
        <v>20</v>
      </c>
      <c r="I246" s="6">
        <v>47</v>
      </c>
      <c r="J246" s="6">
        <v>50</v>
      </c>
      <c r="K246" s="7">
        <v>0.92455719952666793</v>
      </c>
      <c r="L246" s="7">
        <v>0.97502294105172749</v>
      </c>
      <c r="M246" s="7">
        <v>0.94907595639943332</v>
      </c>
      <c r="N246" s="8">
        <v>30680</v>
      </c>
      <c r="O246" s="7">
        <f t="shared" si="7"/>
        <v>0.99273984721292985</v>
      </c>
    </row>
    <row r="247" spans="1:15">
      <c r="A247" s="3" t="s">
        <v>281</v>
      </c>
      <c r="B247" s="4">
        <v>45527</v>
      </c>
      <c r="C247" s="5">
        <f t="shared" si="6"/>
        <v>45505</v>
      </c>
      <c r="D247" s="3" t="s">
        <v>43</v>
      </c>
      <c r="E247" s="2" t="s">
        <v>44</v>
      </c>
      <c r="F247" s="2" t="s">
        <v>28</v>
      </c>
      <c r="G247" s="2" t="s">
        <v>29</v>
      </c>
      <c r="H247" s="3" t="s">
        <v>45</v>
      </c>
      <c r="I247" s="6">
        <v>45</v>
      </c>
      <c r="J247" s="6">
        <v>44</v>
      </c>
      <c r="K247" s="7">
        <v>0.96201270184568222</v>
      </c>
      <c r="L247" s="7">
        <v>0.96708373322447627</v>
      </c>
      <c r="M247" s="7">
        <v>0.89075560223036387</v>
      </c>
      <c r="N247" s="8">
        <v>20810</v>
      </c>
      <c r="O247" s="7">
        <f t="shared" si="7"/>
        <v>0.9548279670022759</v>
      </c>
    </row>
    <row r="248" spans="1:15">
      <c r="A248" s="3" t="s">
        <v>282</v>
      </c>
      <c r="B248" s="4">
        <v>45527</v>
      </c>
      <c r="C248" s="5">
        <f t="shared" si="6"/>
        <v>45505</v>
      </c>
      <c r="D248" s="3" t="s">
        <v>39</v>
      </c>
      <c r="E248" s="2" t="s">
        <v>40</v>
      </c>
      <c r="F248" s="2" t="s">
        <v>36</v>
      </c>
      <c r="G248" s="2" t="s">
        <v>37</v>
      </c>
      <c r="H248" s="3" t="s">
        <v>24</v>
      </c>
      <c r="I248" s="6">
        <v>47</v>
      </c>
      <c r="J248" s="6">
        <v>50</v>
      </c>
      <c r="K248" s="7">
        <v>0.995</v>
      </c>
      <c r="L248" s="7">
        <v>0.96258317281978201</v>
      </c>
      <c r="M248" s="7">
        <v>0.995</v>
      </c>
      <c r="N248" s="8">
        <v>24160</v>
      </c>
      <c r="O248" s="7">
        <f t="shared" si="7"/>
        <v>1.0176693908165844</v>
      </c>
    </row>
    <row r="249" spans="1:15">
      <c r="A249" s="3" t="s">
        <v>283</v>
      </c>
      <c r="B249" s="4">
        <v>45534</v>
      </c>
      <c r="C249" s="5">
        <f t="shared" si="6"/>
        <v>45505</v>
      </c>
      <c r="D249" s="3" t="s">
        <v>22</v>
      </c>
      <c r="E249" s="2" t="s">
        <v>23</v>
      </c>
      <c r="F249" s="2" t="s">
        <v>18</v>
      </c>
      <c r="G249" s="2" t="s">
        <v>19</v>
      </c>
      <c r="H249" s="3" t="s">
        <v>24</v>
      </c>
      <c r="I249" s="6">
        <v>48</v>
      </c>
      <c r="J249" s="6">
        <v>49</v>
      </c>
      <c r="K249" s="7">
        <v>0.92126999011566424</v>
      </c>
      <c r="L249" s="7">
        <v>0.99130175716346025</v>
      </c>
      <c r="M249" s="7">
        <v>0.94906089368288227</v>
      </c>
      <c r="N249" s="8">
        <v>26080</v>
      </c>
      <c r="O249" s="7">
        <f t="shared" si="7"/>
        <v>0.9771582731733448</v>
      </c>
    </row>
    <row r="250" spans="1:15">
      <c r="A250" s="3" t="s">
        <v>284</v>
      </c>
      <c r="B250" s="4">
        <v>45534</v>
      </c>
      <c r="C250" s="5">
        <f t="shared" si="6"/>
        <v>45505</v>
      </c>
      <c r="D250" s="3" t="s">
        <v>22</v>
      </c>
      <c r="E250" s="2" t="s">
        <v>23</v>
      </c>
      <c r="F250" s="2" t="s">
        <v>18</v>
      </c>
      <c r="G250" s="2" t="s">
        <v>19</v>
      </c>
      <c r="H250" s="3" t="s">
        <v>24</v>
      </c>
      <c r="I250" s="6">
        <v>31</v>
      </c>
      <c r="J250" s="6">
        <v>32</v>
      </c>
      <c r="K250" s="7">
        <v>0.92682145289406859</v>
      </c>
      <c r="L250" s="7">
        <v>0.96979421940301225</v>
      </c>
      <c r="M250" s="7">
        <v>0.96496591406743237</v>
      </c>
      <c r="N250" s="8">
        <v>16250</v>
      </c>
      <c r="O250" s="7">
        <f t="shared" si="7"/>
        <v>0.98307090475390702</v>
      </c>
    </row>
    <row r="251" spans="1:15">
      <c r="A251" s="3" t="s">
        <v>285</v>
      </c>
      <c r="B251" s="4">
        <v>45534</v>
      </c>
      <c r="C251" s="5">
        <f t="shared" si="6"/>
        <v>45505</v>
      </c>
      <c r="D251" s="3" t="s">
        <v>26</v>
      </c>
      <c r="E251" s="2" t="s">
        <v>27</v>
      </c>
      <c r="F251" s="2" t="s">
        <v>28</v>
      </c>
      <c r="G251" s="2" t="s">
        <v>29</v>
      </c>
      <c r="H251" s="3" t="s">
        <v>20</v>
      </c>
      <c r="I251" s="6">
        <v>37</v>
      </c>
      <c r="J251" s="6">
        <v>36</v>
      </c>
      <c r="K251" s="7">
        <v>0.91403030525707063</v>
      </c>
      <c r="L251" s="7">
        <v>0.93385066720037313</v>
      </c>
      <c r="M251" s="7">
        <v>0.8611078011019806</v>
      </c>
      <c r="N251" s="8">
        <v>12720</v>
      </c>
      <c r="O251" s="7">
        <f t="shared" si="7"/>
        <v>0.929995925803909</v>
      </c>
    </row>
    <row r="252" spans="1:15">
      <c r="A252" s="3" t="s">
        <v>286</v>
      </c>
      <c r="B252" s="4">
        <v>45534</v>
      </c>
      <c r="C252" s="5">
        <f t="shared" si="6"/>
        <v>45505</v>
      </c>
      <c r="D252" s="3" t="s">
        <v>26</v>
      </c>
      <c r="E252" s="2" t="s">
        <v>27</v>
      </c>
      <c r="F252" s="2" t="s">
        <v>28</v>
      </c>
      <c r="G252" s="2" t="s">
        <v>29</v>
      </c>
      <c r="H252" s="3" t="s">
        <v>20</v>
      </c>
      <c r="I252" s="6">
        <v>55</v>
      </c>
      <c r="J252" s="6">
        <v>62</v>
      </c>
      <c r="K252" s="7">
        <v>0.88536700791036782</v>
      </c>
      <c r="L252" s="7">
        <v>0.93782554050247646</v>
      </c>
      <c r="M252" s="7">
        <v>0.84840226844599553</v>
      </c>
      <c r="N252" s="8">
        <v>22330</v>
      </c>
      <c r="O252" s="7">
        <f t="shared" si="7"/>
        <v>0.98260512765125352</v>
      </c>
    </row>
    <row r="253" spans="1:15">
      <c r="A253" s="3" t="s">
        <v>287</v>
      </c>
      <c r="B253" s="4">
        <v>45534</v>
      </c>
      <c r="C253" s="5">
        <f t="shared" si="6"/>
        <v>45505</v>
      </c>
      <c r="D253" s="3" t="s">
        <v>43</v>
      </c>
      <c r="E253" s="2" t="s">
        <v>44</v>
      </c>
      <c r="F253" s="2" t="s">
        <v>28</v>
      </c>
      <c r="G253" s="2" t="s">
        <v>29</v>
      </c>
      <c r="H253" s="3" t="s">
        <v>45</v>
      </c>
      <c r="I253" s="6">
        <v>41</v>
      </c>
      <c r="J253" s="6">
        <v>40</v>
      </c>
      <c r="K253" s="7">
        <v>0.95168346219897926</v>
      </c>
      <c r="L253" s="7">
        <v>1</v>
      </c>
      <c r="M253" s="7">
        <v>0.91918651703881771</v>
      </c>
      <c r="N253" s="8">
        <v>15050</v>
      </c>
      <c r="O253" s="7">
        <f t="shared" si="7"/>
        <v>0.96200207139653271</v>
      </c>
    </row>
    <row r="254" spans="1:15">
      <c r="A254" s="3" t="s">
        <v>288</v>
      </c>
      <c r="B254" s="4">
        <v>45534</v>
      </c>
      <c r="C254" s="5">
        <f t="shared" si="6"/>
        <v>45505</v>
      </c>
      <c r="D254" s="3" t="s">
        <v>39</v>
      </c>
      <c r="E254" s="2" t="s">
        <v>40</v>
      </c>
      <c r="F254" s="2" t="s">
        <v>36</v>
      </c>
      <c r="G254" s="2" t="s">
        <v>37</v>
      </c>
      <c r="H254" s="3" t="s">
        <v>24</v>
      </c>
      <c r="I254" s="6">
        <v>29</v>
      </c>
      <c r="J254" s="6">
        <v>31</v>
      </c>
      <c r="K254" s="7">
        <v>0.995</v>
      </c>
      <c r="L254" s="7">
        <v>0.99848493128601334</v>
      </c>
      <c r="M254" s="7">
        <v>0.99475214277146262</v>
      </c>
      <c r="N254" s="8">
        <v>13290</v>
      </c>
      <c r="O254" s="7">
        <f t="shared" si="7"/>
        <v>1.0250593751437462</v>
      </c>
    </row>
    <row r="255" spans="1:15">
      <c r="A255" s="3" t="s">
        <v>289</v>
      </c>
      <c r="B255" s="4">
        <v>45538</v>
      </c>
      <c r="C255" s="5">
        <f t="shared" si="6"/>
        <v>45536</v>
      </c>
      <c r="D255" s="3" t="s">
        <v>26</v>
      </c>
      <c r="E255" s="2" t="s">
        <v>27</v>
      </c>
      <c r="F255" s="2" t="s">
        <v>28</v>
      </c>
      <c r="G255" s="2" t="s">
        <v>29</v>
      </c>
      <c r="H255" s="3" t="s">
        <v>20</v>
      </c>
      <c r="I255" s="6">
        <v>34</v>
      </c>
      <c r="J255" s="6">
        <v>30</v>
      </c>
      <c r="K255" s="7">
        <v>0.88822942948588246</v>
      </c>
      <c r="L255" s="7">
        <v>0.93045003379215141</v>
      </c>
      <c r="M255" s="7">
        <v>0.92808087770379366</v>
      </c>
      <c r="N255" s="8">
        <v>10620</v>
      </c>
      <c r="O255" s="7">
        <f t="shared" si="7"/>
        <v>0.90018221445164037</v>
      </c>
    </row>
    <row r="256" spans="1:15">
      <c r="A256" s="3" t="s">
        <v>290</v>
      </c>
      <c r="B256" s="4">
        <v>45538</v>
      </c>
      <c r="C256" s="5">
        <f t="shared" si="6"/>
        <v>45536</v>
      </c>
      <c r="D256" s="3" t="s">
        <v>43</v>
      </c>
      <c r="E256" s="2" t="s">
        <v>44</v>
      </c>
      <c r="F256" s="2" t="s">
        <v>28</v>
      </c>
      <c r="G256" s="2" t="s">
        <v>29</v>
      </c>
      <c r="H256" s="3" t="s">
        <v>45</v>
      </c>
      <c r="I256" s="6">
        <v>50</v>
      </c>
      <c r="J256" s="6">
        <v>44</v>
      </c>
      <c r="K256" s="7">
        <v>0.95716582907762171</v>
      </c>
      <c r="L256" s="7">
        <v>0.97681917987070599</v>
      </c>
      <c r="M256" s="7">
        <v>0.92161099736121366</v>
      </c>
      <c r="N256" s="8">
        <v>17570</v>
      </c>
      <c r="O256" s="7">
        <f t="shared" si="7"/>
        <v>0.92213653372225413</v>
      </c>
    </row>
    <row r="257" spans="1:15">
      <c r="A257" s="3" t="s">
        <v>291</v>
      </c>
      <c r="B257" s="4">
        <v>45539</v>
      </c>
      <c r="C257" s="5">
        <f t="shared" si="6"/>
        <v>45536</v>
      </c>
      <c r="D257" s="3" t="s">
        <v>43</v>
      </c>
      <c r="E257" s="2" t="s">
        <v>44</v>
      </c>
      <c r="F257" s="2" t="s">
        <v>28</v>
      </c>
      <c r="G257" s="2" t="s">
        <v>29</v>
      </c>
      <c r="H257" s="3" t="s">
        <v>45</v>
      </c>
      <c r="I257" s="6">
        <v>44</v>
      </c>
      <c r="J257" s="6">
        <v>43</v>
      </c>
      <c r="K257" s="7">
        <v>0.94639079605979637</v>
      </c>
      <c r="L257" s="7">
        <v>0.97733588815154437</v>
      </c>
      <c r="M257" s="7">
        <v>0.91786372366549762</v>
      </c>
      <c r="N257" s="8">
        <v>16770</v>
      </c>
      <c r="O257" s="7">
        <f t="shared" si="7"/>
        <v>0.95767991787987117</v>
      </c>
    </row>
    <row r="258" spans="1:15">
      <c r="A258" s="3" t="s">
        <v>292</v>
      </c>
      <c r="B258" s="4">
        <v>45539</v>
      </c>
      <c r="C258" s="5">
        <f t="shared" ref="C258:C321" si="8">DATE(YEAR(B258),MONTH(B258),1)</f>
        <v>45536</v>
      </c>
      <c r="D258" s="3" t="s">
        <v>39</v>
      </c>
      <c r="E258" s="2" t="s">
        <v>40</v>
      </c>
      <c r="F258" s="2" t="s">
        <v>36</v>
      </c>
      <c r="G258" s="2" t="s">
        <v>37</v>
      </c>
      <c r="H258" s="3" t="s">
        <v>24</v>
      </c>
      <c r="I258" s="6">
        <v>42</v>
      </c>
      <c r="J258" s="6">
        <v>46</v>
      </c>
      <c r="K258" s="7">
        <v>0.98028425795164087</v>
      </c>
      <c r="L258" s="7">
        <v>0.9836729631730815</v>
      </c>
      <c r="M258" s="7">
        <v>0.97673505021168072</v>
      </c>
      <c r="N258" s="8">
        <v>24980</v>
      </c>
      <c r="O258" s="7">
        <f t="shared" ref="O258:O321" si="9">MIN(J258/I258,1.2)*40%+K258*25%+L258*15%+M258*20%</f>
        <v>1.0260642571014469</v>
      </c>
    </row>
    <row r="259" spans="1:15">
      <c r="A259" s="3" t="s">
        <v>293</v>
      </c>
      <c r="B259" s="4">
        <v>45540</v>
      </c>
      <c r="C259" s="5">
        <f t="shared" si="8"/>
        <v>45536</v>
      </c>
      <c r="D259" s="3" t="s">
        <v>16</v>
      </c>
      <c r="E259" s="2" t="s">
        <v>17</v>
      </c>
      <c r="F259" s="2" t="s">
        <v>18</v>
      </c>
      <c r="G259" s="2" t="s">
        <v>19</v>
      </c>
      <c r="H259" s="3" t="s">
        <v>20</v>
      </c>
      <c r="I259" s="6">
        <v>50</v>
      </c>
      <c r="J259" s="6">
        <v>51</v>
      </c>
      <c r="K259" s="7">
        <v>0.9378529423957781</v>
      </c>
      <c r="L259" s="7">
        <v>0.94376443417908362</v>
      </c>
      <c r="M259" s="7">
        <v>0.88666299744759081</v>
      </c>
      <c r="N259" s="8">
        <v>31860</v>
      </c>
      <c r="O259" s="7">
        <f t="shared" si="9"/>
        <v>0.96136050021532526</v>
      </c>
    </row>
    <row r="260" spans="1:15">
      <c r="A260" s="3" t="s">
        <v>294</v>
      </c>
      <c r="B260" s="4">
        <v>45540</v>
      </c>
      <c r="C260" s="5">
        <f t="shared" si="8"/>
        <v>45536</v>
      </c>
      <c r="D260" s="3" t="s">
        <v>43</v>
      </c>
      <c r="E260" s="2" t="s">
        <v>44</v>
      </c>
      <c r="F260" s="2" t="s">
        <v>28</v>
      </c>
      <c r="G260" s="2" t="s">
        <v>29</v>
      </c>
      <c r="H260" s="3" t="s">
        <v>45</v>
      </c>
      <c r="I260" s="6">
        <v>36</v>
      </c>
      <c r="J260" s="6">
        <v>37</v>
      </c>
      <c r="K260" s="7">
        <v>0.98579881491286558</v>
      </c>
      <c r="L260" s="7">
        <v>1</v>
      </c>
      <c r="M260" s="7">
        <v>0.89543380825894037</v>
      </c>
      <c r="N260" s="8">
        <v>13980</v>
      </c>
      <c r="O260" s="7">
        <f t="shared" si="9"/>
        <v>0.98664757649111556</v>
      </c>
    </row>
    <row r="261" spans="1:15">
      <c r="A261" s="3" t="s">
        <v>295</v>
      </c>
      <c r="B261" s="4">
        <v>45541</v>
      </c>
      <c r="C261" s="5">
        <f t="shared" si="8"/>
        <v>45536</v>
      </c>
      <c r="D261" s="3" t="s">
        <v>16</v>
      </c>
      <c r="E261" s="2" t="s">
        <v>17</v>
      </c>
      <c r="F261" s="2" t="s">
        <v>18</v>
      </c>
      <c r="G261" s="2" t="s">
        <v>19</v>
      </c>
      <c r="H261" s="3" t="s">
        <v>20</v>
      </c>
      <c r="I261" s="6">
        <v>29</v>
      </c>
      <c r="J261" s="6">
        <v>28</v>
      </c>
      <c r="K261" s="7">
        <v>0.94561521463925491</v>
      </c>
      <c r="L261" s="7">
        <v>0.99445843973489878</v>
      </c>
      <c r="M261" s="7">
        <v>0.98055276427253746</v>
      </c>
      <c r="N261" s="8">
        <v>17660</v>
      </c>
      <c r="O261" s="7">
        <f t="shared" si="9"/>
        <v>0.96789001902628025</v>
      </c>
    </row>
    <row r="262" spans="1:15">
      <c r="A262" s="3" t="s">
        <v>296</v>
      </c>
      <c r="B262" s="4">
        <v>45541</v>
      </c>
      <c r="C262" s="5">
        <f t="shared" si="8"/>
        <v>45536</v>
      </c>
      <c r="D262" s="3" t="s">
        <v>22</v>
      </c>
      <c r="E262" s="2" t="s">
        <v>23</v>
      </c>
      <c r="F262" s="2" t="s">
        <v>18</v>
      </c>
      <c r="G262" s="2" t="s">
        <v>19</v>
      </c>
      <c r="H262" s="3" t="s">
        <v>24</v>
      </c>
      <c r="I262" s="6">
        <v>39</v>
      </c>
      <c r="J262" s="6">
        <v>37</v>
      </c>
      <c r="K262" s="7">
        <v>0.94747983049043794</v>
      </c>
      <c r="L262" s="7">
        <v>0.94528049009049331</v>
      </c>
      <c r="M262" s="7">
        <v>0.94385260789944336</v>
      </c>
      <c r="N262" s="8">
        <v>23200</v>
      </c>
      <c r="O262" s="7">
        <f t="shared" si="9"/>
        <v>0.94691973220325165</v>
      </c>
    </row>
    <row r="263" spans="1:15">
      <c r="A263" s="3" t="s">
        <v>297</v>
      </c>
      <c r="B263" s="4">
        <v>45541</v>
      </c>
      <c r="C263" s="5">
        <f t="shared" si="8"/>
        <v>45536</v>
      </c>
      <c r="D263" s="3" t="s">
        <v>22</v>
      </c>
      <c r="E263" s="2" t="s">
        <v>23</v>
      </c>
      <c r="F263" s="2" t="s">
        <v>18</v>
      </c>
      <c r="G263" s="2" t="s">
        <v>19</v>
      </c>
      <c r="H263" s="3" t="s">
        <v>24</v>
      </c>
      <c r="I263" s="6">
        <v>52</v>
      </c>
      <c r="J263" s="6">
        <v>46</v>
      </c>
      <c r="K263" s="7">
        <v>0.95782000796819977</v>
      </c>
      <c r="L263" s="7">
        <v>0.94402415440401266</v>
      </c>
      <c r="M263" s="7">
        <v>0.89772108246717375</v>
      </c>
      <c r="N263" s="8">
        <v>28050</v>
      </c>
      <c r="O263" s="7">
        <f t="shared" si="9"/>
        <v>0.91444899549224046</v>
      </c>
    </row>
    <row r="264" spans="1:15">
      <c r="A264" s="3" t="s">
        <v>298</v>
      </c>
      <c r="B264" s="4">
        <v>45541</v>
      </c>
      <c r="C264" s="5">
        <f t="shared" si="8"/>
        <v>45536</v>
      </c>
      <c r="D264" s="3" t="s">
        <v>26</v>
      </c>
      <c r="E264" s="2" t="s">
        <v>27</v>
      </c>
      <c r="F264" s="2" t="s">
        <v>28</v>
      </c>
      <c r="G264" s="2" t="s">
        <v>29</v>
      </c>
      <c r="H264" s="3" t="s">
        <v>20</v>
      </c>
      <c r="I264" s="6">
        <v>33</v>
      </c>
      <c r="J264" s="6">
        <v>33</v>
      </c>
      <c r="K264" s="7">
        <v>0.91619507758598406</v>
      </c>
      <c r="L264" s="7">
        <v>0.93968613979262849</v>
      </c>
      <c r="M264" s="7">
        <v>0.9148104406413371</v>
      </c>
      <c r="N264" s="8">
        <v>11890</v>
      </c>
      <c r="O264" s="7">
        <f t="shared" si="9"/>
        <v>0.95296377849365776</v>
      </c>
    </row>
    <row r="265" spans="1:15">
      <c r="A265" s="3" t="s">
        <v>299</v>
      </c>
      <c r="B265" s="4">
        <v>45541</v>
      </c>
      <c r="C265" s="5">
        <f t="shared" si="8"/>
        <v>45536</v>
      </c>
      <c r="D265" s="3" t="s">
        <v>34</v>
      </c>
      <c r="E265" s="2" t="s">
        <v>35</v>
      </c>
      <c r="F265" s="2" t="s">
        <v>36</v>
      </c>
      <c r="G265" s="2" t="s">
        <v>37</v>
      </c>
      <c r="H265" s="3" t="s">
        <v>20</v>
      </c>
      <c r="I265" s="6">
        <v>29</v>
      </c>
      <c r="J265" s="6">
        <v>26</v>
      </c>
      <c r="K265" s="7">
        <v>0.91122986299058351</v>
      </c>
      <c r="L265" s="7">
        <v>0.99744286154636674</v>
      </c>
      <c r="M265" s="7">
        <v>0.90722713207670846</v>
      </c>
      <c r="N265" s="8">
        <v>11620</v>
      </c>
      <c r="O265" s="7">
        <f t="shared" si="9"/>
        <v>0.91749001105011507</v>
      </c>
    </row>
    <row r="266" spans="1:15">
      <c r="A266" s="3" t="s">
        <v>300</v>
      </c>
      <c r="B266" s="4">
        <v>45544</v>
      </c>
      <c r="C266" s="5">
        <f t="shared" si="8"/>
        <v>45536</v>
      </c>
      <c r="D266" s="3" t="s">
        <v>43</v>
      </c>
      <c r="E266" s="2" t="s">
        <v>44</v>
      </c>
      <c r="F266" s="2" t="s">
        <v>28</v>
      </c>
      <c r="G266" s="2" t="s">
        <v>29</v>
      </c>
      <c r="H266" s="3" t="s">
        <v>45</v>
      </c>
      <c r="I266" s="6">
        <v>46</v>
      </c>
      <c r="J266" s="6">
        <v>42</v>
      </c>
      <c r="K266" s="7">
        <v>0.9318504180012791</v>
      </c>
      <c r="L266" s="7">
        <v>0.95917446090332426</v>
      </c>
      <c r="M266" s="7">
        <v>0.93737204793462781</v>
      </c>
      <c r="N266" s="8">
        <v>17790</v>
      </c>
      <c r="O266" s="7">
        <f t="shared" si="9"/>
        <v>0.92953057452709187</v>
      </c>
    </row>
    <row r="267" spans="1:15">
      <c r="A267" s="3" t="s">
        <v>301</v>
      </c>
      <c r="B267" s="4">
        <v>45545</v>
      </c>
      <c r="C267" s="5">
        <f t="shared" si="8"/>
        <v>45536</v>
      </c>
      <c r="D267" s="3" t="s">
        <v>26</v>
      </c>
      <c r="E267" s="2" t="s">
        <v>27</v>
      </c>
      <c r="F267" s="2" t="s">
        <v>28</v>
      </c>
      <c r="G267" s="2" t="s">
        <v>29</v>
      </c>
      <c r="H267" s="3" t="s">
        <v>20</v>
      </c>
      <c r="I267" s="6">
        <v>52</v>
      </c>
      <c r="J267" s="6">
        <v>49</v>
      </c>
      <c r="K267" s="7">
        <v>0.88052278011280039</v>
      </c>
      <c r="L267" s="7">
        <v>0.96596313873721396</v>
      </c>
      <c r="M267" s="7">
        <v>0.91976183351469198</v>
      </c>
      <c r="N267" s="8">
        <v>20170</v>
      </c>
      <c r="O267" s="7">
        <f t="shared" si="9"/>
        <v>0.92590060946479746</v>
      </c>
    </row>
    <row r="268" spans="1:15">
      <c r="A268" s="3" t="s">
        <v>302</v>
      </c>
      <c r="B268" s="4">
        <v>45547</v>
      </c>
      <c r="C268" s="5">
        <f t="shared" si="8"/>
        <v>45536</v>
      </c>
      <c r="D268" s="3" t="s">
        <v>22</v>
      </c>
      <c r="E268" s="2" t="s">
        <v>23</v>
      </c>
      <c r="F268" s="2" t="s">
        <v>18</v>
      </c>
      <c r="G268" s="2" t="s">
        <v>19</v>
      </c>
      <c r="H268" s="3" t="s">
        <v>24</v>
      </c>
      <c r="I268" s="6">
        <v>31</v>
      </c>
      <c r="J268" s="6">
        <v>26</v>
      </c>
      <c r="K268" s="7">
        <v>0.9319708147412088</v>
      </c>
      <c r="L268" s="7">
        <v>0.96178242844296868</v>
      </c>
      <c r="M268" s="7">
        <v>0.95322333536620141</v>
      </c>
      <c r="N268" s="8">
        <v>15690</v>
      </c>
      <c r="O268" s="7">
        <f t="shared" si="9"/>
        <v>0.90338860599272963</v>
      </c>
    </row>
    <row r="269" spans="1:15">
      <c r="A269" s="3" t="s">
        <v>303</v>
      </c>
      <c r="B269" s="4">
        <v>45548</v>
      </c>
      <c r="C269" s="5">
        <f t="shared" si="8"/>
        <v>45536</v>
      </c>
      <c r="D269" s="3" t="s">
        <v>39</v>
      </c>
      <c r="E269" s="2" t="s">
        <v>40</v>
      </c>
      <c r="F269" s="2" t="s">
        <v>36</v>
      </c>
      <c r="G269" s="2" t="s">
        <v>37</v>
      </c>
      <c r="H269" s="3" t="s">
        <v>24</v>
      </c>
      <c r="I269" s="6">
        <v>47</v>
      </c>
      <c r="J269" s="6">
        <v>50</v>
      </c>
      <c r="K269" s="7">
        <v>0.94123581710502902</v>
      </c>
      <c r="L269" s="7">
        <v>1</v>
      </c>
      <c r="M269" s="7">
        <v>0.96203091568611843</v>
      </c>
      <c r="N269" s="8">
        <v>23670</v>
      </c>
      <c r="O269" s="7">
        <f t="shared" si="9"/>
        <v>1.003247052307098</v>
      </c>
    </row>
    <row r="270" spans="1:15">
      <c r="A270" s="3" t="s">
        <v>304</v>
      </c>
      <c r="B270" s="4">
        <v>45551</v>
      </c>
      <c r="C270" s="5">
        <f t="shared" si="8"/>
        <v>45536</v>
      </c>
      <c r="D270" s="3" t="s">
        <v>16</v>
      </c>
      <c r="E270" s="2" t="s">
        <v>17</v>
      </c>
      <c r="F270" s="2" t="s">
        <v>18</v>
      </c>
      <c r="G270" s="2" t="s">
        <v>19</v>
      </c>
      <c r="H270" s="3" t="s">
        <v>20</v>
      </c>
      <c r="I270" s="6">
        <v>29</v>
      </c>
      <c r="J270" s="6">
        <v>33</v>
      </c>
      <c r="K270" s="7">
        <v>0.95633320492069418</v>
      </c>
      <c r="L270" s="7">
        <v>0.97089861799963606</v>
      </c>
      <c r="M270" s="7">
        <v>0.88286637472399454</v>
      </c>
      <c r="N270" s="8">
        <v>21160</v>
      </c>
      <c r="O270" s="7">
        <f t="shared" si="9"/>
        <v>1.0164637826680214</v>
      </c>
    </row>
    <row r="271" spans="1:15">
      <c r="A271" s="3" t="s">
        <v>305</v>
      </c>
      <c r="B271" s="4">
        <v>45552</v>
      </c>
      <c r="C271" s="5">
        <f t="shared" si="8"/>
        <v>45536</v>
      </c>
      <c r="D271" s="3" t="s">
        <v>16</v>
      </c>
      <c r="E271" s="2" t="s">
        <v>17</v>
      </c>
      <c r="F271" s="2" t="s">
        <v>18</v>
      </c>
      <c r="G271" s="2" t="s">
        <v>19</v>
      </c>
      <c r="H271" s="3" t="s">
        <v>20</v>
      </c>
      <c r="I271" s="6">
        <v>29</v>
      </c>
      <c r="J271" s="6">
        <v>30</v>
      </c>
      <c r="K271" s="7">
        <v>0.93992996610607649</v>
      </c>
      <c r="L271" s="7">
        <v>0.98998029004155319</v>
      </c>
      <c r="M271" s="7">
        <v>0.9148654785887772</v>
      </c>
      <c r="N271" s="8">
        <v>18280</v>
      </c>
      <c r="O271" s="7">
        <f t="shared" si="9"/>
        <v>0.98024573419878347</v>
      </c>
    </row>
    <row r="272" spans="1:15">
      <c r="A272" s="3" t="s">
        <v>306</v>
      </c>
      <c r="B272" s="4">
        <v>45552</v>
      </c>
      <c r="C272" s="5">
        <f t="shared" si="8"/>
        <v>45536</v>
      </c>
      <c r="D272" s="3" t="s">
        <v>16</v>
      </c>
      <c r="E272" s="2" t="s">
        <v>17</v>
      </c>
      <c r="F272" s="2" t="s">
        <v>18</v>
      </c>
      <c r="G272" s="2" t="s">
        <v>19</v>
      </c>
      <c r="H272" s="3" t="s">
        <v>20</v>
      </c>
      <c r="I272" s="6">
        <v>43</v>
      </c>
      <c r="J272" s="6">
        <v>45</v>
      </c>
      <c r="K272" s="7">
        <v>0.88673461318286384</v>
      </c>
      <c r="L272" s="7">
        <v>0.99101634902233227</v>
      </c>
      <c r="M272" s="7">
        <v>0.94832880702367273</v>
      </c>
      <c r="N272" s="8">
        <v>26040</v>
      </c>
      <c r="O272" s="7">
        <f t="shared" si="9"/>
        <v>0.97860651821659106</v>
      </c>
    </row>
    <row r="273" spans="1:15">
      <c r="A273" s="3" t="s">
        <v>307</v>
      </c>
      <c r="B273" s="4">
        <v>45552</v>
      </c>
      <c r="C273" s="5">
        <f t="shared" si="8"/>
        <v>45536</v>
      </c>
      <c r="D273" s="3" t="s">
        <v>26</v>
      </c>
      <c r="E273" s="2" t="s">
        <v>27</v>
      </c>
      <c r="F273" s="2" t="s">
        <v>28</v>
      </c>
      <c r="G273" s="2" t="s">
        <v>29</v>
      </c>
      <c r="H273" s="3" t="s">
        <v>20</v>
      </c>
      <c r="I273" s="6">
        <v>53</v>
      </c>
      <c r="J273" s="6">
        <v>51</v>
      </c>
      <c r="K273" s="7">
        <v>0.91007078446903877</v>
      </c>
      <c r="L273" s="7">
        <v>0.92077813508258533</v>
      </c>
      <c r="M273" s="7">
        <v>0.87575980965972611</v>
      </c>
      <c r="N273" s="8">
        <v>18280</v>
      </c>
      <c r="O273" s="7">
        <f t="shared" si="9"/>
        <v>0.92569203868895134</v>
      </c>
    </row>
    <row r="274" spans="1:15">
      <c r="A274" s="3" t="s">
        <v>308</v>
      </c>
      <c r="B274" s="4">
        <v>45553</v>
      </c>
      <c r="C274" s="5">
        <f t="shared" si="8"/>
        <v>45536</v>
      </c>
      <c r="D274" s="3" t="s">
        <v>22</v>
      </c>
      <c r="E274" s="2" t="s">
        <v>23</v>
      </c>
      <c r="F274" s="2" t="s">
        <v>18</v>
      </c>
      <c r="G274" s="2" t="s">
        <v>19</v>
      </c>
      <c r="H274" s="3" t="s">
        <v>24</v>
      </c>
      <c r="I274" s="6">
        <v>33</v>
      </c>
      <c r="J274" s="6">
        <v>33</v>
      </c>
      <c r="K274" s="7">
        <v>0.92751206393709684</v>
      </c>
      <c r="L274" s="7">
        <v>0.95527863762607879</v>
      </c>
      <c r="M274" s="7">
        <v>0.9297205876331629</v>
      </c>
      <c r="N274" s="8">
        <v>18120</v>
      </c>
      <c r="O274" s="7">
        <f t="shared" si="9"/>
        <v>0.96111392915481875</v>
      </c>
    </row>
    <row r="275" spans="1:15">
      <c r="A275" s="3" t="s">
        <v>309</v>
      </c>
      <c r="B275" s="4">
        <v>45554</v>
      </c>
      <c r="C275" s="5">
        <f t="shared" si="8"/>
        <v>45536</v>
      </c>
      <c r="D275" s="3" t="s">
        <v>22</v>
      </c>
      <c r="E275" s="2" t="s">
        <v>23</v>
      </c>
      <c r="F275" s="2" t="s">
        <v>18</v>
      </c>
      <c r="G275" s="2" t="s">
        <v>19</v>
      </c>
      <c r="H275" s="3" t="s">
        <v>24</v>
      </c>
      <c r="I275" s="6">
        <v>53</v>
      </c>
      <c r="J275" s="6">
        <v>49</v>
      </c>
      <c r="K275" s="7">
        <v>0.95223844265032143</v>
      </c>
      <c r="L275" s="7">
        <v>0.94856362990078003</v>
      </c>
      <c r="M275" s="7">
        <v>0.9420504442241977</v>
      </c>
      <c r="N275" s="8">
        <v>24180</v>
      </c>
      <c r="O275" s="7">
        <f t="shared" si="9"/>
        <v>0.93856556474725394</v>
      </c>
    </row>
    <row r="276" spans="1:15">
      <c r="A276" s="3" t="s">
        <v>310</v>
      </c>
      <c r="B276" s="4">
        <v>45555</v>
      </c>
      <c r="C276" s="5">
        <f t="shared" si="8"/>
        <v>45536</v>
      </c>
      <c r="D276" s="3" t="s">
        <v>22</v>
      </c>
      <c r="E276" s="2" t="s">
        <v>23</v>
      </c>
      <c r="F276" s="2" t="s">
        <v>18</v>
      </c>
      <c r="G276" s="2" t="s">
        <v>19</v>
      </c>
      <c r="H276" s="3" t="s">
        <v>24</v>
      </c>
      <c r="I276" s="6">
        <v>34</v>
      </c>
      <c r="J276" s="6">
        <v>37</v>
      </c>
      <c r="K276" s="7">
        <v>0.92276876320619672</v>
      </c>
      <c r="L276" s="7">
        <v>0.98186537158669285</v>
      </c>
      <c r="M276" s="7">
        <v>0.9514670201387796</v>
      </c>
      <c r="N276" s="8">
        <v>20610</v>
      </c>
      <c r="O276" s="7">
        <f t="shared" si="9"/>
        <v>1.0035595182143677</v>
      </c>
    </row>
    <row r="277" spans="1:15">
      <c r="A277" s="3" t="s">
        <v>311</v>
      </c>
      <c r="B277" s="4">
        <v>45555</v>
      </c>
      <c r="C277" s="5">
        <f t="shared" si="8"/>
        <v>45536</v>
      </c>
      <c r="D277" s="3" t="s">
        <v>26</v>
      </c>
      <c r="E277" s="2" t="s">
        <v>27</v>
      </c>
      <c r="F277" s="2" t="s">
        <v>28</v>
      </c>
      <c r="G277" s="2" t="s">
        <v>29</v>
      </c>
      <c r="H277" s="3" t="s">
        <v>20</v>
      </c>
      <c r="I277" s="6">
        <v>33</v>
      </c>
      <c r="J277" s="6">
        <v>28</v>
      </c>
      <c r="K277" s="7">
        <v>0.89869076446209839</v>
      </c>
      <c r="L277" s="7">
        <v>0.97516952942772595</v>
      </c>
      <c r="M277" s="7">
        <v>0.88261187401376684</v>
      </c>
      <c r="N277" s="8">
        <v>12300</v>
      </c>
      <c r="O277" s="7">
        <f t="shared" si="9"/>
        <v>0.88686443472637633</v>
      </c>
    </row>
    <row r="278" spans="1:15">
      <c r="A278" s="3" t="s">
        <v>312</v>
      </c>
      <c r="B278" s="4">
        <v>45555</v>
      </c>
      <c r="C278" s="5">
        <f t="shared" si="8"/>
        <v>45536</v>
      </c>
      <c r="D278" s="3" t="s">
        <v>26</v>
      </c>
      <c r="E278" s="2" t="s">
        <v>27</v>
      </c>
      <c r="F278" s="2" t="s">
        <v>28</v>
      </c>
      <c r="G278" s="2" t="s">
        <v>29</v>
      </c>
      <c r="H278" s="3" t="s">
        <v>20</v>
      </c>
      <c r="I278" s="6">
        <v>39</v>
      </c>
      <c r="J278" s="6">
        <v>32</v>
      </c>
      <c r="K278" s="7">
        <v>0.92567450468327706</v>
      </c>
      <c r="L278" s="7">
        <v>0.9338731238481206</v>
      </c>
      <c r="M278" s="7">
        <v>0.84899026446851467</v>
      </c>
      <c r="N278" s="8">
        <v>14110</v>
      </c>
      <c r="O278" s="7">
        <f t="shared" si="9"/>
        <v>0.86950277584686853</v>
      </c>
    </row>
    <row r="279" spans="1:15">
      <c r="A279" s="3" t="s">
        <v>313</v>
      </c>
      <c r="B279" s="4">
        <v>45558</v>
      </c>
      <c r="C279" s="5">
        <f t="shared" si="8"/>
        <v>45536</v>
      </c>
      <c r="D279" s="3" t="s">
        <v>16</v>
      </c>
      <c r="E279" s="2" t="s">
        <v>17</v>
      </c>
      <c r="F279" s="2" t="s">
        <v>18</v>
      </c>
      <c r="G279" s="2" t="s">
        <v>19</v>
      </c>
      <c r="H279" s="3" t="s">
        <v>20</v>
      </c>
      <c r="I279" s="6">
        <v>54</v>
      </c>
      <c r="J279" s="6">
        <v>57</v>
      </c>
      <c r="K279" s="7">
        <v>0.9409990874540205</v>
      </c>
      <c r="L279" s="7">
        <v>0.95370903906679039</v>
      </c>
      <c r="M279" s="7">
        <v>0.94674375962684842</v>
      </c>
      <c r="N279" s="8">
        <v>34980</v>
      </c>
      <c r="O279" s="7">
        <f t="shared" si="9"/>
        <v>0.98987710187111566</v>
      </c>
    </row>
    <row r="280" spans="1:15">
      <c r="A280" s="3" t="s">
        <v>314</v>
      </c>
      <c r="B280" s="4">
        <v>45560</v>
      </c>
      <c r="C280" s="5">
        <f t="shared" si="8"/>
        <v>45536</v>
      </c>
      <c r="D280" s="3" t="s">
        <v>16</v>
      </c>
      <c r="E280" s="2" t="s">
        <v>17</v>
      </c>
      <c r="F280" s="2" t="s">
        <v>18</v>
      </c>
      <c r="G280" s="2" t="s">
        <v>19</v>
      </c>
      <c r="H280" s="3" t="s">
        <v>20</v>
      </c>
      <c r="I280" s="6">
        <v>47</v>
      </c>
      <c r="J280" s="6">
        <v>51</v>
      </c>
      <c r="K280" s="7">
        <v>0.97157152534452262</v>
      </c>
      <c r="L280" s="7">
        <v>0.9816475237868918</v>
      </c>
      <c r="M280" s="7">
        <v>0.91468870371807032</v>
      </c>
      <c r="N280" s="8">
        <v>27490</v>
      </c>
      <c r="O280" s="7">
        <f t="shared" si="9"/>
        <v>1.0071203038392678</v>
      </c>
    </row>
    <row r="281" spans="1:15">
      <c r="A281" s="3" t="s">
        <v>315</v>
      </c>
      <c r="B281" s="4">
        <v>45560</v>
      </c>
      <c r="C281" s="5">
        <f t="shared" si="8"/>
        <v>45536</v>
      </c>
      <c r="D281" s="3" t="s">
        <v>26</v>
      </c>
      <c r="E281" s="2" t="s">
        <v>27</v>
      </c>
      <c r="F281" s="2" t="s">
        <v>28</v>
      </c>
      <c r="G281" s="2" t="s">
        <v>29</v>
      </c>
      <c r="H281" s="3" t="s">
        <v>20</v>
      </c>
      <c r="I281" s="6">
        <v>49</v>
      </c>
      <c r="J281" s="6">
        <v>48</v>
      </c>
      <c r="K281" s="7">
        <v>0.87810899190243175</v>
      </c>
      <c r="L281" s="7">
        <v>0.93442740892850007</v>
      </c>
      <c r="M281" s="7">
        <v>0.86208379370363342</v>
      </c>
      <c r="N281" s="8">
        <v>19670</v>
      </c>
      <c r="O281" s="7">
        <f t="shared" si="9"/>
        <v>0.92394485274948723</v>
      </c>
    </row>
    <row r="282" spans="1:15">
      <c r="A282" s="3" t="s">
        <v>316</v>
      </c>
      <c r="B282" s="4">
        <v>45561</v>
      </c>
      <c r="C282" s="5">
        <f t="shared" si="8"/>
        <v>45536</v>
      </c>
      <c r="D282" s="3" t="s">
        <v>22</v>
      </c>
      <c r="E282" s="2" t="s">
        <v>23</v>
      </c>
      <c r="F282" s="2" t="s">
        <v>18</v>
      </c>
      <c r="G282" s="2" t="s">
        <v>19</v>
      </c>
      <c r="H282" s="3" t="s">
        <v>24</v>
      </c>
      <c r="I282" s="6">
        <v>46</v>
      </c>
      <c r="J282" s="6">
        <v>42</v>
      </c>
      <c r="K282" s="7">
        <v>0.91713234773281227</v>
      </c>
      <c r="L282" s="7">
        <v>0.9502349697708744</v>
      </c>
      <c r="M282" s="7">
        <v>0.92882801511375068</v>
      </c>
      <c r="N282" s="8">
        <v>24200</v>
      </c>
      <c r="O282" s="7">
        <f t="shared" si="9"/>
        <v>0.92280132672593218</v>
      </c>
    </row>
    <row r="283" spans="1:15">
      <c r="A283" s="3" t="s">
        <v>317</v>
      </c>
      <c r="B283" s="4">
        <v>45565</v>
      </c>
      <c r="C283" s="5">
        <f t="shared" si="8"/>
        <v>45536</v>
      </c>
      <c r="D283" s="3" t="s">
        <v>26</v>
      </c>
      <c r="E283" s="2" t="s">
        <v>27</v>
      </c>
      <c r="F283" s="2" t="s">
        <v>28</v>
      </c>
      <c r="G283" s="2" t="s">
        <v>29</v>
      </c>
      <c r="H283" s="3" t="s">
        <v>20</v>
      </c>
      <c r="I283" s="6">
        <v>53</v>
      </c>
      <c r="J283" s="6">
        <v>52</v>
      </c>
      <c r="K283" s="7">
        <v>0.91443957768176809</v>
      </c>
      <c r="L283" s="7">
        <v>0.89678807718251208</v>
      </c>
      <c r="M283" s="7">
        <v>0.92718819268335817</v>
      </c>
      <c r="N283" s="8">
        <v>19020</v>
      </c>
      <c r="O283" s="7">
        <f t="shared" si="9"/>
        <v>0.94101857472316963</v>
      </c>
    </row>
    <row r="284" spans="1:15">
      <c r="A284" s="3" t="s">
        <v>318</v>
      </c>
      <c r="B284" s="4">
        <v>45565</v>
      </c>
      <c r="C284" s="5">
        <f t="shared" si="8"/>
        <v>45536</v>
      </c>
      <c r="D284" s="3" t="s">
        <v>39</v>
      </c>
      <c r="E284" s="2" t="s">
        <v>40</v>
      </c>
      <c r="F284" s="2" t="s">
        <v>36</v>
      </c>
      <c r="G284" s="2" t="s">
        <v>37</v>
      </c>
      <c r="H284" s="3" t="s">
        <v>24</v>
      </c>
      <c r="I284" s="6">
        <v>54</v>
      </c>
      <c r="J284" s="6">
        <v>63</v>
      </c>
      <c r="K284" s="7">
        <v>0.96205128951317409</v>
      </c>
      <c r="L284" s="7">
        <v>0.99238381891927541</v>
      </c>
      <c r="M284" s="7">
        <v>0.93967687021783552</v>
      </c>
      <c r="N284" s="8">
        <v>31820</v>
      </c>
      <c r="O284" s="7">
        <f t="shared" si="9"/>
        <v>1.0439724359264189</v>
      </c>
    </row>
    <row r="285" spans="1:15">
      <c r="A285" s="3" t="s">
        <v>319</v>
      </c>
      <c r="B285" s="4">
        <v>45566</v>
      </c>
      <c r="C285" s="5">
        <f t="shared" si="8"/>
        <v>45566</v>
      </c>
      <c r="D285" s="3" t="s">
        <v>16</v>
      </c>
      <c r="E285" s="2" t="s">
        <v>17</v>
      </c>
      <c r="F285" s="2" t="s">
        <v>18</v>
      </c>
      <c r="G285" s="2" t="s">
        <v>19</v>
      </c>
      <c r="H285" s="3" t="s">
        <v>20</v>
      </c>
      <c r="I285" s="6">
        <v>51</v>
      </c>
      <c r="J285" s="6">
        <v>58</v>
      </c>
      <c r="K285" s="7">
        <v>0.96673004883389546</v>
      </c>
      <c r="L285" s="7">
        <v>0.97745795602978214</v>
      </c>
      <c r="M285" s="7">
        <v>0.95493044025006169</v>
      </c>
      <c r="N285" s="8">
        <v>37610</v>
      </c>
      <c r="O285" s="7">
        <f t="shared" si="9"/>
        <v>1.0341892544472673</v>
      </c>
    </row>
    <row r="286" spans="1:15">
      <c r="A286" s="3" t="s">
        <v>320</v>
      </c>
      <c r="B286" s="4">
        <v>45567</v>
      </c>
      <c r="C286" s="5">
        <f t="shared" si="8"/>
        <v>45566</v>
      </c>
      <c r="D286" s="3" t="s">
        <v>39</v>
      </c>
      <c r="E286" s="2" t="s">
        <v>40</v>
      </c>
      <c r="F286" s="2" t="s">
        <v>36</v>
      </c>
      <c r="G286" s="2" t="s">
        <v>37</v>
      </c>
      <c r="H286" s="3" t="s">
        <v>24</v>
      </c>
      <c r="I286" s="6">
        <v>41</v>
      </c>
      <c r="J286" s="6">
        <v>46</v>
      </c>
      <c r="K286" s="7">
        <v>0.94682569375040593</v>
      </c>
      <c r="L286" s="7">
        <v>0.98489118259116526</v>
      </c>
      <c r="M286" s="7">
        <v>0.97156567381835357</v>
      </c>
      <c r="N286" s="8">
        <v>22140</v>
      </c>
      <c r="O286" s="7">
        <f t="shared" si="9"/>
        <v>1.0275337233948252</v>
      </c>
    </row>
    <row r="287" spans="1:15">
      <c r="A287" s="3" t="s">
        <v>321</v>
      </c>
      <c r="B287" s="4">
        <v>45569</v>
      </c>
      <c r="C287" s="5">
        <f t="shared" si="8"/>
        <v>45566</v>
      </c>
      <c r="D287" s="3" t="s">
        <v>16</v>
      </c>
      <c r="E287" s="2" t="s">
        <v>17</v>
      </c>
      <c r="F287" s="2" t="s">
        <v>18</v>
      </c>
      <c r="G287" s="2" t="s">
        <v>19</v>
      </c>
      <c r="H287" s="3" t="s">
        <v>20</v>
      </c>
      <c r="I287" s="6">
        <v>45</v>
      </c>
      <c r="J287" s="6">
        <v>45</v>
      </c>
      <c r="K287" s="7">
        <v>0.92860739004588855</v>
      </c>
      <c r="L287" s="7">
        <v>0.95211544087299882</v>
      </c>
      <c r="M287" s="7">
        <v>0.90614537634626247</v>
      </c>
      <c r="N287" s="8">
        <v>24100</v>
      </c>
      <c r="O287" s="7">
        <f t="shared" si="9"/>
        <v>0.95619823891167444</v>
      </c>
    </row>
    <row r="288" spans="1:15">
      <c r="A288" s="3" t="s">
        <v>322</v>
      </c>
      <c r="B288" s="4">
        <v>45569</v>
      </c>
      <c r="C288" s="5">
        <f t="shared" si="8"/>
        <v>45566</v>
      </c>
      <c r="D288" s="3" t="s">
        <v>16</v>
      </c>
      <c r="E288" s="2" t="s">
        <v>17</v>
      </c>
      <c r="F288" s="2" t="s">
        <v>18</v>
      </c>
      <c r="G288" s="2" t="s">
        <v>19</v>
      </c>
      <c r="H288" s="3" t="s">
        <v>20</v>
      </c>
      <c r="I288" s="6">
        <v>50</v>
      </c>
      <c r="J288" s="6">
        <v>49</v>
      </c>
      <c r="K288" s="7">
        <v>0.9301838434262435</v>
      </c>
      <c r="L288" s="7">
        <v>0.97570084771442822</v>
      </c>
      <c r="M288" s="7">
        <v>0.93104728922893709</v>
      </c>
      <c r="N288" s="8">
        <v>28440</v>
      </c>
      <c r="O288" s="7">
        <f t="shared" si="9"/>
        <v>0.95711054585951261</v>
      </c>
    </row>
    <row r="289" spans="1:15">
      <c r="A289" s="3" t="s">
        <v>323</v>
      </c>
      <c r="B289" s="4">
        <v>45569</v>
      </c>
      <c r="C289" s="5">
        <f t="shared" si="8"/>
        <v>45566</v>
      </c>
      <c r="D289" s="3" t="s">
        <v>22</v>
      </c>
      <c r="E289" s="2" t="s">
        <v>23</v>
      </c>
      <c r="F289" s="2" t="s">
        <v>18</v>
      </c>
      <c r="G289" s="2" t="s">
        <v>19</v>
      </c>
      <c r="H289" s="3" t="s">
        <v>24</v>
      </c>
      <c r="I289" s="6">
        <v>54</v>
      </c>
      <c r="J289" s="6">
        <v>46</v>
      </c>
      <c r="K289" s="7">
        <v>0.95350068089455897</v>
      </c>
      <c r="L289" s="7">
        <v>0.96803152018648331</v>
      </c>
      <c r="M289" s="7">
        <v>0.91284214244822537</v>
      </c>
      <c r="N289" s="8">
        <v>27600</v>
      </c>
      <c r="O289" s="7">
        <f t="shared" si="9"/>
        <v>0.90688906748199805</v>
      </c>
    </row>
    <row r="290" spans="1:15">
      <c r="A290" s="3" t="s">
        <v>324</v>
      </c>
      <c r="B290" s="4">
        <v>45569</v>
      </c>
      <c r="C290" s="5">
        <f t="shared" si="8"/>
        <v>45566</v>
      </c>
      <c r="D290" s="3" t="s">
        <v>43</v>
      </c>
      <c r="E290" s="2" t="s">
        <v>44</v>
      </c>
      <c r="F290" s="2" t="s">
        <v>28</v>
      </c>
      <c r="G290" s="2" t="s">
        <v>29</v>
      </c>
      <c r="H290" s="3" t="s">
        <v>45</v>
      </c>
      <c r="I290" s="6">
        <v>44</v>
      </c>
      <c r="J290" s="6">
        <v>49</v>
      </c>
      <c r="K290" s="7">
        <v>0.96683933890790752</v>
      </c>
      <c r="L290" s="7">
        <v>0.97361097228328519</v>
      </c>
      <c r="M290" s="7">
        <v>0.9149909949528815</v>
      </c>
      <c r="N290" s="8">
        <v>20470</v>
      </c>
      <c r="O290" s="7">
        <f t="shared" si="9"/>
        <v>1.0162042250145915</v>
      </c>
    </row>
    <row r="291" spans="1:15">
      <c r="A291" s="3" t="s">
        <v>325</v>
      </c>
      <c r="B291" s="4">
        <v>45569</v>
      </c>
      <c r="C291" s="5">
        <f t="shared" si="8"/>
        <v>45566</v>
      </c>
      <c r="D291" s="3" t="s">
        <v>34</v>
      </c>
      <c r="E291" s="2" t="s">
        <v>35</v>
      </c>
      <c r="F291" s="2" t="s">
        <v>36</v>
      </c>
      <c r="G291" s="2" t="s">
        <v>37</v>
      </c>
      <c r="H291" s="3" t="s">
        <v>20</v>
      </c>
      <c r="I291" s="6">
        <v>54</v>
      </c>
      <c r="J291" s="6">
        <v>55</v>
      </c>
      <c r="K291" s="7">
        <v>0.97901452604447037</v>
      </c>
      <c r="L291" s="7">
        <v>1</v>
      </c>
      <c r="M291" s="7">
        <v>0.91573109410723241</v>
      </c>
      <c r="N291" s="8">
        <v>24170</v>
      </c>
      <c r="O291" s="7">
        <f t="shared" si="9"/>
        <v>0.98530725773997152</v>
      </c>
    </row>
    <row r="292" spans="1:15">
      <c r="A292" s="3" t="s">
        <v>326</v>
      </c>
      <c r="B292" s="4">
        <v>45574</v>
      </c>
      <c r="C292" s="5">
        <f t="shared" si="8"/>
        <v>45566</v>
      </c>
      <c r="D292" s="3" t="s">
        <v>43</v>
      </c>
      <c r="E292" s="2" t="s">
        <v>44</v>
      </c>
      <c r="F292" s="2" t="s">
        <v>28</v>
      </c>
      <c r="G292" s="2" t="s">
        <v>29</v>
      </c>
      <c r="H292" s="3" t="s">
        <v>45</v>
      </c>
      <c r="I292" s="6">
        <v>41</v>
      </c>
      <c r="J292" s="6">
        <v>39</v>
      </c>
      <c r="K292" s="7">
        <v>0.99301181237669223</v>
      </c>
      <c r="L292" s="7">
        <v>0.95219795706545152</v>
      </c>
      <c r="M292" s="7">
        <v>0.96969102529003726</v>
      </c>
      <c r="N292" s="8">
        <v>17510</v>
      </c>
      <c r="O292" s="7">
        <f t="shared" si="9"/>
        <v>0.96550865659004703</v>
      </c>
    </row>
    <row r="293" spans="1:15">
      <c r="A293" s="3" t="s">
        <v>327</v>
      </c>
      <c r="B293" s="4">
        <v>45575</v>
      </c>
      <c r="C293" s="5">
        <f t="shared" si="8"/>
        <v>45566</v>
      </c>
      <c r="D293" s="3" t="s">
        <v>22</v>
      </c>
      <c r="E293" s="2" t="s">
        <v>23</v>
      </c>
      <c r="F293" s="2" t="s">
        <v>18</v>
      </c>
      <c r="G293" s="2" t="s">
        <v>19</v>
      </c>
      <c r="H293" s="3" t="s">
        <v>24</v>
      </c>
      <c r="I293" s="6">
        <v>55</v>
      </c>
      <c r="J293" s="6">
        <v>49</v>
      </c>
      <c r="K293" s="7">
        <v>0.88918261266081733</v>
      </c>
      <c r="L293" s="7">
        <v>0.96680324569805642</v>
      </c>
      <c r="M293" s="7">
        <v>0.96124205740109525</v>
      </c>
      <c r="N293" s="8">
        <v>25760</v>
      </c>
      <c r="O293" s="7">
        <f t="shared" si="9"/>
        <v>0.91592818786376828</v>
      </c>
    </row>
    <row r="294" spans="1:15">
      <c r="A294" s="3" t="s">
        <v>328</v>
      </c>
      <c r="B294" s="4">
        <v>45576</v>
      </c>
      <c r="C294" s="5">
        <f t="shared" si="8"/>
        <v>45566</v>
      </c>
      <c r="D294" s="3" t="s">
        <v>43</v>
      </c>
      <c r="E294" s="2" t="s">
        <v>44</v>
      </c>
      <c r="F294" s="2" t="s">
        <v>28</v>
      </c>
      <c r="G294" s="2" t="s">
        <v>29</v>
      </c>
      <c r="H294" s="3" t="s">
        <v>45</v>
      </c>
      <c r="I294" s="6">
        <v>39</v>
      </c>
      <c r="J294" s="6">
        <v>37</v>
      </c>
      <c r="K294" s="7">
        <v>0.93185033835018383</v>
      </c>
      <c r="L294" s="7">
        <v>1</v>
      </c>
      <c r="M294" s="7">
        <v>0.91604508766740522</v>
      </c>
      <c r="N294" s="8">
        <v>17400</v>
      </c>
      <c r="O294" s="7">
        <f t="shared" si="9"/>
        <v>0.94565878160820649</v>
      </c>
    </row>
    <row r="295" spans="1:15">
      <c r="A295" s="3" t="s">
        <v>329</v>
      </c>
      <c r="B295" s="4">
        <v>45579</v>
      </c>
      <c r="C295" s="5">
        <f t="shared" si="8"/>
        <v>45566</v>
      </c>
      <c r="D295" s="3" t="s">
        <v>26</v>
      </c>
      <c r="E295" s="2" t="s">
        <v>27</v>
      </c>
      <c r="F295" s="2" t="s">
        <v>28</v>
      </c>
      <c r="G295" s="2" t="s">
        <v>29</v>
      </c>
      <c r="H295" s="3" t="s">
        <v>20</v>
      </c>
      <c r="I295" s="6">
        <v>36</v>
      </c>
      <c r="J295" s="6">
        <v>33</v>
      </c>
      <c r="K295" s="7">
        <v>0.8981806549523883</v>
      </c>
      <c r="L295" s="7">
        <v>0.95852269693274195</v>
      </c>
      <c r="M295" s="7">
        <v>0.90078722048882798</v>
      </c>
      <c r="N295" s="8">
        <v>13490</v>
      </c>
      <c r="O295" s="7">
        <f t="shared" si="9"/>
        <v>0.91514767904244065</v>
      </c>
    </row>
    <row r="296" spans="1:15">
      <c r="A296" s="3" t="s">
        <v>330</v>
      </c>
      <c r="B296" s="4">
        <v>45580</v>
      </c>
      <c r="C296" s="5">
        <f t="shared" si="8"/>
        <v>45566</v>
      </c>
      <c r="D296" s="3" t="s">
        <v>26</v>
      </c>
      <c r="E296" s="2" t="s">
        <v>27</v>
      </c>
      <c r="F296" s="2" t="s">
        <v>28</v>
      </c>
      <c r="G296" s="2" t="s">
        <v>29</v>
      </c>
      <c r="H296" s="3" t="s">
        <v>20</v>
      </c>
      <c r="I296" s="6">
        <v>52</v>
      </c>
      <c r="J296" s="6">
        <v>51</v>
      </c>
      <c r="K296" s="7">
        <v>0.89058839366073428</v>
      </c>
      <c r="L296" s="7">
        <v>0.95197183529222518</v>
      </c>
      <c r="M296" s="7">
        <v>0.88392603895754074</v>
      </c>
      <c r="N296" s="8">
        <v>18470</v>
      </c>
      <c r="O296" s="7">
        <f t="shared" si="9"/>
        <v>0.93453577380821784</v>
      </c>
    </row>
    <row r="297" spans="1:15">
      <c r="A297" s="3" t="s">
        <v>331</v>
      </c>
      <c r="B297" s="4">
        <v>45581</v>
      </c>
      <c r="C297" s="5">
        <f t="shared" si="8"/>
        <v>45566</v>
      </c>
      <c r="D297" s="3" t="s">
        <v>34</v>
      </c>
      <c r="E297" s="2" t="s">
        <v>35</v>
      </c>
      <c r="F297" s="2" t="s">
        <v>36</v>
      </c>
      <c r="G297" s="2" t="s">
        <v>37</v>
      </c>
      <c r="H297" s="3" t="s">
        <v>20</v>
      </c>
      <c r="I297" s="6">
        <v>52</v>
      </c>
      <c r="J297" s="6">
        <v>51</v>
      </c>
      <c r="K297" s="7">
        <v>0.91306103805210026</v>
      </c>
      <c r="L297" s="7">
        <v>0.95784852290960487</v>
      </c>
      <c r="M297" s="7">
        <v>0.93888166245372062</v>
      </c>
      <c r="N297" s="8">
        <v>21640</v>
      </c>
      <c r="O297" s="7">
        <f t="shared" si="9"/>
        <v>0.95202656274790221</v>
      </c>
    </row>
    <row r="298" spans="1:15">
      <c r="A298" s="3" t="s">
        <v>332</v>
      </c>
      <c r="B298" s="4">
        <v>45582</v>
      </c>
      <c r="C298" s="5">
        <f t="shared" si="8"/>
        <v>45566</v>
      </c>
      <c r="D298" s="3" t="s">
        <v>22</v>
      </c>
      <c r="E298" s="2" t="s">
        <v>23</v>
      </c>
      <c r="F298" s="2" t="s">
        <v>18</v>
      </c>
      <c r="G298" s="2" t="s">
        <v>19</v>
      </c>
      <c r="H298" s="3" t="s">
        <v>24</v>
      </c>
      <c r="I298" s="6">
        <v>42</v>
      </c>
      <c r="J298" s="6">
        <v>39</v>
      </c>
      <c r="K298" s="7">
        <v>0.91202485545785517</v>
      </c>
      <c r="L298" s="7">
        <v>0.96228811053648555</v>
      </c>
      <c r="M298" s="7">
        <v>0.94447878064163437</v>
      </c>
      <c r="N298" s="8">
        <v>22520</v>
      </c>
      <c r="O298" s="7">
        <f t="shared" si="9"/>
        <v>0.93267375800183494</v>
      </c>
    </row>
    <row r="299" spans="1:15">
      <c r="A299" s="3" t="s">
        <v>333</v>
      </c>
      <c r="B299" s="4">
        <v>45583</v>
      </c>
      <c r="C299" s="5">
        <f t="shared" si="8"/>
        <v>45566</v>
      </c>
      <c r="D299" s="3" t="s">
        <v>16</v>
      </c>
      <c r="E299" s="2" t="s">
        <v>17</v>
      </c>
      <c r="F299" s="2" t="s">
        <v>18</v>
      </c>
      <c r="G299" s="2" t="s">
        <v>19</v>
      </c>
      <c r="H299" s="3" t="s">
        <v>20</v>
      </c>
      <c r="I299" s="6">
        <v>55</v>
      </c>
      <c r="J299" s="6">
        <v>56</v>
      </c>
      <c r="K299" s="7">
        <v>0.94337347647177527</v>
      </c>
      <c r="L299" s="7">
        <v>0.98382690229565717</v>
      </c>
      <c r="M299" s="7">
        <v>0.94639701238536267</v>
      </c>
      <c r="N299" s="8">
        <v>28420</v>
      </c>
      <c r="O299" s="7">
        <f t="shared" si="9"/>
        <v>0.9799695342120921</v>
      </c>
    </row>
    <row r="300" spans="1:15">
      <c r="A300" s="3" t="s">
        <v>334</v>
      </c>
      <c r="B300" s="4">
        <v>45583</v>
      </c>
      <c r="C300" s="5">
        <f t="shared" si="8"/>
        <v>45566</v>
      </c>
      <c r="D300" s="3" t="s">
        <v>16</v>
      </c>
      <c r="E300" s="2" t="s">
        <v>17</v>
      </c>
      <c r="F300" s="2" t="s">
        <v>18</v>
      </c>
      <c r="G300" s="2" t="s">
        <v>19</v>
      </c>
      <c r="H300" s="3" t="s">
        <v>20</v>
      </c>
      <c r="I300" s="6">
        <v>33</v>
      </c>
      <c r="J300" s="6">
        <v>38</v>
      </c>
      <c r="K300" s="7">
        <v>0.93348496526940938</v>
      </c>
      <c r="L300" s="7">
        <v>0.96062911336768297</v>
      </c>
      <c r="M300" s="7">
        <v>0.89254552185023384</v>
      </c>
      <c r="N300" s="8">
        <v>19840</v>
      </c>
      <c r="O300" s="7">
        <f t="shared" si="9"/>
        <v>1.0165807732986123</v>
      </c>
    </row>
    <row r="301" spans="1:15">
      <c r="A301" s="3" t="s">
        <v>335</v>
      </c>
      <c r="B301" s="4">
        <v>45583</v>
      </c>
      <c r="C301" s="5">
        <f t="shared" si="8"/>
        <v>45566</v>
      </c>
      <c r="D301" s="3" t="s">
        <v>22</v>
      </c>
      <c r="E301" s="2" t="s">
        <v>23</v>
      </c>
      <c r="F301" s="2" t="s">
        <v>18</v>
      </c>
      <c r="G301" s="2" t="s">
        <v>19</v>
      </c>
      <c r="H301" s="3" t="s">
        <v>24</v>
      </c>
      <c r="I301" s="6">
        <v>43</v>
      </c>
      <c r="J301" s="6">
        <v>44</v>
      </c>
      <c r="K301" s="7">
        <v>0.93619890193131783</v>
      </c>
      <c r="L301" s="7">
        <v>0.9686431533817772</v>
      </c>
      <c r="M301" s="7">
        <v>0.93249214426852522</v>
      </c>
      <c r="N301" s="8">
        <v>22030</v>
      </c>
      <c r="O301" s="7">
        <f t="shared" si="9"/>
        <v>0.97514695292519649</v>
      </c>
    </row>
    <row r="302" spans="1:15">
      <c r="A302" s="3" t="s">
        <v>336</v>
      </c>
      <c r="B302" s="4">
        <v>45583</v>
      </c>
      <c r="C302" s="5">
        <f t="shared" si="8"/>
        <v>45566</v>
      </c>
      <c r="D302" s="3" t="s">
        <v>26</v>
      </c>
      <c r="E302" s="2" t="s">
        <v>27</v>
      </c>
      <c r="F302" s="2" t="s">
        <v>28</v>
      </c>
      <c r="G302" s="2" t="s">
        <v>29</v>
      </c>
      <c r="H302" s="3" t="s">
        <v>20</v>
      </c>
      <c r="I302" s="6">
        <v>30</v>
      </c>
      <c r="J302" s="6">
        <v>27</v>
      </c>
      <c r="K302" s="7">
        <v>0.88160872660668788</v>
      </c>
      <c r="L302" s="7">
        <v>0.95841690385409506</v>
      </c>
      <c r="M302" s="7">
        <v>0.88145528034525877</v>
      </c>
      <c r="N302" s="8">
        <v>10570</v>
      </c>
      <c r="O302" s="7">
        <f t="shared" si="9"/>
        <v>0.90045577329883808</v>
      </c>
    </row>
    <row r="303" spans="1:15">
      <c r="A303" s="3" t="s">
        <v>337</v>
      </c>
      <c r="B303" s="4">
        <v>45583</v>
      </c>
      <c r="C303" s="5">
        <f t="shared" si="8"/>
        <v>45566</v>
      </c>
      <c r="D303" s="3" t="s">
        <v>26</v>
      </c>
      <c r="E303" s="2" t="s">
        <v>27</v>
      </c>
      <c r="F303" s="2" t="s">
        <v>28</v>
      </c>
      <c r="G303" s="2" t="s">
        <v>29</v>
      </c>
      <c r="H303" s="3" t="s">
        <v>20</v>
      </c>
      <c r="I303" s="6">
        <v>28</v>
      </c>
      <c r="J303" s="6">
        <v>24</v>
      </c>
      <c r="K303" s="7">
        <v>0.91124432697149982</v>
      </c>
      <c r="L303" s="7">
        <v>0.90812777786870624</v>
      </c>
      <c r="M303" s="7">
        <v>0.85934881939853258</v>
      </c>
      <c r="N303" s="8">
        <v>10500</v>
      </c>
      <c r="O303" s="7">
        <f t="shared" si="9"/>
        <v>0.87875715516003028</v>
      </c>
    </row>
    <row r="304" spans="1:15">
      <c r="A304" s="3" t="s">
        <v>338</v>
      </c>
      <c r="B304" s="4">
        <v>45583</v>
      </c>
      <c r="C304" s="5">
        <f t="shared" si="8"/>
        <v>45566</v>
      </c>
      <c r="D304" s="3" t="s">
        <v>43</v>
      </c>
      <c r="E304" s="2" t="s">
        <v>44</v>
      </c>
      <c r="F304" s="2" t="s">
        <v>28</v>
      </c>
      <c r="G304" s="2" t="s">
        <v>29</v>
      </c>
      <c r="H304" s="3" t="s">
        <v>45</v>
      </c>
      <c r="I304" s="6">
        <v>51</v>
      </c>
      <c r="J304" s="6">
        <v>55</v>
      </c>
      <c r="K304" s="7">
        <v>0.90281092519938955</v>
      </c>
      <c r="L304" s="7">
        <v>0.95325001611375693</v>
      </c>
      <c r="M304" s="7">
        <v>0.9766405777560605</v>
      </c>
      <c r="N304" s="8">
        <v>21710</v>
      </c>
      <c r="O304" s="7">
        <f t="shared" si="9"/>
        <v>0.99539089828773086</v>
      </c>
    </row>
    <row r="305" spans="1:15">
      <c r="A305" s="3" t="s">
        <v>339</v>
      </c>
      <c r="B305" s="4">
        <v>45586</v>
      </c>
      <c r="C305" s="5">
        <f t="shared" si="8"/>
        <v>45566</v>
      </c>
      <c r="D305" s="3" t="s">
        <v>26</v>
      </c>
      <c r="E305" s="2" t="s">
        <v>27</v>
      </c>
      <c r="F305" s="2" t="s">
        <v>28</v>
      </c>
      <c r="G305" s="2" t="s">
        <v>29</v>
      </c>
      <c r="H305" s="3" t="s">
        <v>20</v>
      </c>
      <c r="I305" s="6">
        <v>47</v>
      </c>
      <c r="J305" s="6">
        <v>42</v>
      </c>
      <c r="K305" s="7">
        <v>0.91231456658658083</v>
      </c>
      <c r="L305" s="7">
        <v>0.93957444069185969</v>
      </c>
      <c r="M305" s="7">
        <v>0.8892711265545864</v>
      </c>
      <c r="N305" s="8">
        <v>16700</v>
      </c>
      <c r="O305" s="7">
        <f t="shared" si="9"/>
        <v>0.90431584157197975</v>
      </c>
    </row>
    <row r="306" spans="1:15">
      <c r="A306" s="3" t="s">
        <v>340</v>
      </c>
      <c r="B306" s="4">
        <v>45586</v>
      </c>
      <c r="C306" s="5">
        <f t="shared" si="8"/>
        <v>45566</v>
      </c>
      <c r="D306" s="3" t="s">
        <v>34</v>
      </c>
      <c r="E306" s="2" t="s">
        <v>35</v>
      </c>
      <c r="F306" s="2" t="s">
        <v>36</v>
      </c>
      <c r="G306" s="2" t="s">
        <v>37</v>
      </c>
      <c r="H306" s="3" t="s">
        <v>20</v>
      </c>
      <c r="I306" s="6">
        <v>30</v>
      </c>
      <c r="J306" s="6">
        <v>25</v>
      </c>
      <c r="K306" s="7">
        <v>0.95616157611529096</v>
      </c>
      <c r="L306" s="7">
        <v>0.94749307472406874</v>
      </c>
      <c r="M306" s="7">
        <v>0.96875924241882339</v>
      </c>
      <c r="N306" s="8">
        <v>10600</v>
      </c>
      <c r="O306" s="7">
        <f t="shared" si="9"/>
        <v>0.90824953705453104</v>
      </c>
    </row>
    <row r="307" spans="1:15">
      <c r="A307" s="3" t="s">
        <v>341</v>
      </c>
      <c r="B307" s="4">
        <v>45587</v>
      </c>
      <c r="C307" s="5">
        <f t="shared" si="8"/>
        <v>45566</v>
      </c>
      <c r="D307" s="3" t="s">
        <v>22</v>
      </c>
      <c r="E307" s="2" t="s">
        <v>23</v>
      </c>
      <c r="F307" s="2" t="s">
        <v>18</v>
      </c>
      <c r="G307" s="2" t="s">
        <v>19</v>
      </c>
      <c r="H307" s="3" t="s">
        <v>24</v>
      </c>
      <c r="I307" s="6">
        <v>32</v>
      </c>
      <c r="J307" s="6">
        <v>32</v>
      </c>
      <c r="K307" s="7">
        <v>0.96583810315905727</v>
      </c>
      <c r="L307" s="7">
        <v>0.93362413643428643</v>
      </c>
      <c r="M307" s="7">
        <v>0.9131221787807845</v>
      </c>
      <c r="N307" s="8">
        <v>19960</v>
      </c>
      <c r="O307" s="7">
        <f t="shared" si="9"/>
        <v>0.9641275820110643</v>
      </c>
    </row>
    <row r="308" spans="1:15">
      <c r="A308" s="3" t="s">
        <v>342</v>
      </c>
      <c r="B308" s="4">
        <v>45587</v>
      </c>
      <c r="C308" s="5">
        <f t="shared" si="8"/>
        <v>45566</v>
      </c>
      <c r="D308" s="3" t="s">
        <v>26</v>
      </c>
      <c r="E308" s="2" t="s">
        <v>27</v>
      </c>
      <c r="F308" s="2" t="s">
        <v>28</v>
      </c>
      <c r="G308" s="2" t="s">
        <v>29</v>
      </c>
      <c r="H308" s="3" t="s">
        <v>20</v>
      </c>
      <c r="I308" s="6">
        <v>49</v>
      </c>
      <c r="J308" s="6">
        <v>51</v>
      </c>
      <c r="K308" s="7">
        <v>0.88604693351263808</v>
      </c>
      <c r="L308" s="7">
        <v>0.93114714091784034</v>
      </c>
      <c r="M308" s="7">
        <v>0.88079252026607235</v>
      </c>
      <c r="N308" s="8">
        <v>19310</v>
      </c>
      <c r="O308" s="7">
        <f t="shared" si="9"/>
        <v>0.95366883918129508</v>
      </c>
    </row>
    <row r="309" spans="1:15">
      <c r="A309" s="3" t="s">
        <v>343</v>
      </c>
      <c r="B309" s="4">
        <v>45590</v>
      </c>
      <c r="C309" s="5">
        <f t="shared" si="8"/>
        <v>45566</v>
      </c>
      <c r="D309" s="3" t="s">
        <v>43</v>
      </c>
      <c r="E309" s="2" t="s">
        <v>44</v>
      </c>
      <c r="F309" s="2" t="s">
        <v>28</v>
      </c>
      <c r="G309" s="2" t="s">
        <v>29</v>
      </c>
      <c r="H309" s="3" t="s">
        <v>45</v>
      </c>
      <c r="I309" s="6">
        <v>38</v>
      </c>
      <c r="J309" s="6">
        <v>40</v>
      </c>
      <c r="K309" s="7">
        <v>0.96492403278722527</v>
      </c>
      <c r="L309" s="7">
        <v>0.97446737544590767</v>
      </c>
      <c r="M309" s="7">
        <v>0.94814226458096118</v>
      </c>
      <c r="N309" s="8">
        <v>17890</v>
      </c>
      <c r="O309" s="7">
        <f t="shared" si="9"/>
        <v>0.99808219900883199</v>
      </c>
    </row>
    <row r="310" spans="1:15">
      <c r="A310" s="3" t="s">
        <v>344</v>
      </c>
      <c r="B310" s="4">
        <v>45590</v>
      </c>
      <c r="C310" s="5">
        <f t="shared" si="8"/>
        <v>45566</v>
      </c>
      <c r="D310" s="3" t="s">
        <v>34</v>
      </c>
      <c r="E310" s="2" t="s">
        <v>35</v>
      </c>
      <c r="F310" s="2" t="s">
        <v>36</v>
      </c>
      <c r="G310" s="2" t="s">
        <v>37</v>
      </c>
      <c r="H310" s="3" t="s">
        <v>20</v>
      </c>
      <c r="I310" s="6">
        <v>34</v>
      </c>
      <c r="J310" s="6">
        <v>33</v>
      </c>
      <c r="K310" s="7">
        <v>0.93606366276128627</v>
      </c>
      <c r="L310" s="7">
        <v>1</v>
      </c>
      <c r="M310" s="7">
        <v>0.95635603681073633</v>
      </c>
      <c r="N310" s="8">
        <v>15320</v>
      </c>
      <c r="O310" s="7">
        <f t="shared" si="9"/>
        <v>0.963522417170116</v>
      </c>
    </row>
    <row r="311" spans="1:15">
      <c r="A311" s="3" t="s">
        <v>345</v>
      </c>
      <c r="B311" s="4">
        <v>45593</v>
      </c>
      <c r="C311" s="5">
        <f t="shared" si="8"/>
        <v>45566</v>
      </c>
      <c r="D311" s="3" t="s">
        <v>26</v>
      </c>
      <c r="E311" s="2" t="s">
        <v>27</v>
      </c>
      <c r="F311" s="2" t="s">
        <v>28</v>
      </c>
      <c r="G311" s="2" t="s">
        <v>29</v>
      </c>
      <c r="H311" s="3" t="s">
        <v>20</v>
      </c>
      <c r="I311" s="6">
        <v>42</v>
      </c>
      <c r="J311" s="6">
        <v>35</v>
      </c>
      <c r="K311" s="7">
        <v>0.90062212181211398</v>
      </c>
      <c r="L311" s="7">
        <v>0.9523734685682731</v>
      </c>
      <c r="M311" s="7">
        <v>0.877175008984729</v>
      </c>
      <c r="N311" s="8">
        <v>14540</v>
      </c>
      <c r="O311" s="7">
        <f t="shared" si="9"/>
        <v>0.8767798858685486</v>
      </c>
    </row>
    <row r="312" spans="1:15">
      <c r="A312" s="3" t="s">
        <v>346</v>
      </c>
      <c r="B312" s="4">
        <v>45593</v>
      </c>
      <c r="C312" s="5">
        <f t="shared" si="8"/>
        <v>45566</v>
      </c>
      <c r="D312" s="3" t="s">
        <v>26</v>
      </c>
      <c r="E312" s="2" t="s">
        <v>27</v>
      </c>
      <c r="F312" s="2" t="s">
        <v>28</v>
      </c>
      <c r="G312" s="2" t="s">
        <v>29</v>
      </c>
      <c r="H312" s="3" t="s">
        <v>20</v>
      </c>
      <c r="I312" s="6">
        <v>42</v>
      </c>
      <c r="J312" s="6">
        <v>40</v>
      </c>
      <c r="K312" s="7">
        <v>0.93555424578803259</v>
      </c>
      <c r="L312" s="7">
        <v>0.95429019051360275</v>
      </c>
      <c r="M312" s="7">
        <v>0.90539277555528419</v>
      </c>
      <c r="N312" s="8">
        <v>16090</v>
      </c>
      <c r="O312" s="7">
        <f t="shared" si="9"/>
        <v>0.93906302608748626</v>
      </c>
    </row>
    <row r="313" spans="1:15">
      <c r="A313" s="3" t="s">
        <v>347</v>
      </c>
      <c r="B313" s="4">
        <v>45594</v>
      </c>
      <c r="C313" s="5">
        <f t="shared" si="8"/>
        <v>45566</v>
      </c>
      <c r="D313" s="3" t="s">
        <v>34</v>
      </c>
      <c r="E313" s="2" t="s">
        <v>35</v>
      </c>
      <c r="F313" s="2" t="s">
        <v>36</v>
      </c>
      <c r="G313" s="2" t="s">
        <v>37</v>
      </c>
      <c r="H313" s="3" t="s">
        <v>20</v>
      </c>
      <c r="I313" s="6">
        <v>28</v>
      </c>
      <c r="J313" s="6">
        <v>29</v>
      </c>
      <c r="K313" s="7">
        <v>0.92649149030580702</v>
      </c>
      <c r="L313" s="7">
        <v>0.95643715330549595</v>
      </c>
      <c r="M313" s="7">
        <v>0.97447040178880551</v>
      </c>
      <c r="N313" s="8">
        <v>14060</v>
      </c>
      <c r="O313" s="7">
        <f t="shared" si="9"/>
        <v>0.98426824021575166</v>
      </c>
    </row>
    <row r="314" spans="1:15">
      <c r="A314" s="3" t="s">
        <v>348</v>
      </c>
      <c r="B314" s="4">
        <v>45594</v>
      </c>
      <c r="C314" s="5">
        <f t="shared" si="8"/>
        <v>45566</v>
      </c>
      <c r="D314" s="3" t="s">
        <v>34</v>
      </c>
      <c r="E314" s="2" t="s">
        <v>35</v>
      </c>
      <c r="F314" s="2" t="s">
        <v>36</v>
      </c>
      <c r="G314" s="2" t="s">
        <v>37</v>
      </c>
      <c r="H314" s="3" t="s">
        <v>20</v>
      </c>
      <c r="I314" s="6">
        <v>46</v>
      </c>
      <c r="J314" s="6">
        <v>42</v>
      </c>
      <c r="K314" s="7">
        <v>0.91698570705016647</v>
      </c>
      <c r="L314" s="7">
        <v>0.94030759453052537</v>
      </c>
      <c r="M314" s="7">
        <v>0.91526365585694325</v>
      </c>
      <c r="N314" s="8">
        <v>18890</v>
      </c>
      <c r="O314" s="7">
        <f t="shared" si="9"/>
        <v>0.91856268841785693</v>
      </c>
    </row>
    <row r="315" spans="1:15">
      <c r="A315" s="3" t="s">
        <v>349</v>
      </c>
      <c r="B315" s="4">
        <v>45594</v>
      </c>
      <c r="C315" s="5">
        <f t="shared" si="8"/>
        <v>45566</v>
      </c>
      <c r="D315" s="3" t="s">
        <v>39</v>
      </c>
      <c r="E315" s="2" t="s">
        <v>40</v>
      </c>
      <c r="F315" s="2" t="s">
        <v>36</v>
      </c>
      <c r="G315" s="2" t="s">
        <v>37</v>
      </c>
      <c r="H315" s="3" t="s">
        <v>24</v>
      </c>
      <c r="I315" s="6">
        <v>43</v>
      </c>
      <c r="J315" s="6">
        <v>52</v>
      </c>
      <c r="K315" s="7">
        <v>0.92137104150730809</v>
      </c>
      <c r="L315" s="7">
        <v>0.98150701026873732</v>
      </c>
      <c r="M315" s="7">
        <v>0.88357041034835837</v>
      </c>
      <c r="N315" s="8">
        <v>26180</v>
      </c>
      <c r="O315" s="7">
        <f t="shared" si="9"/>
        <v>1.0342828939868094</v>
      </c>
    </row>
    <row r="316" spans="1:15">
      <c r="A316" s="3" t="s">
        <v>350</v>
      </c>
      <c r="B316" s="4">
        <v>45595</v>
      </c>
      <c r="C316" s="5">
        <f t="shared" si="8"/>
        <v>45566</v>
      </c>
      <c r="D316" s="3" t="s">
        <v>16</v>
      </c>
      <c r="E316" s="2" t="s">
        <v>17</v>
      </c>
      <c r="F316" s="2" t="s">
        <v>18</v>
      </c>
      <c r="G316" s="2" t="s">
        <v>19</v>
      </c>
      <c r="H316" s="3" t="s">
        <v>20</v>
      </c>
      <c r="I316" s="6">
        <v>34</v>
      </c>
      <c r="J316" s="6">
        <v>38</v>
      </c>
      <c r="K316" s="7">
        <v>0.93513173012238693</v>
      </c>
      <c r="L316" s="7">
        <v>0.94115948632899449</v>
      </c>
      <c r="M316" s="7">
        <v>0.91825419527917274</v>
      </c>
      <c r="N316" s="8">
        <v>19290</v>
      </c>
      <c r="O316" s="7">
        <f t="shared" si="9"/>
        <v>1.0056665180651922</v>
      </c>
    </row>
    <row r="317" spans="1:15">
      <c r="A317" s="3" t="s">
        <v>351</v>
      </c>
      <c r="B317" s="4">
        <v>45596</v>
      </c>
      <c r="C317" s="5">
        <f t="shared" si="8"/>
        <v>45566</v>
      </c>
      <c r="D317" s="3" t="s">
        <v>26</v>
      </c>
      <c r="E317" s="2" t="s">
        <v>27</v>
      </c>
      <c r="F317" s="2" t="s">
        <v>28</v>
      </c>
      <c r="G317" s="2" t="s">
        <v>29</v>
      </c>
      <c r="H317" s="3" t="s">
        <v>20</v>
      </c>
      <c r="I317" s="6">
        <v>55</v>
      </c>
      <c r="J317" s="6">
        <v>46</v>
      </c>
      <c r="K317" s="7">
        <v>0.88759230067467676</v>
      </c>
      <c r="L317" s="7">
        <v>0.94423617809226468</v>
      </c>
      <c r="M317" s="7">
        <v>0.88602219879130484</v>
      </c>
      <c r="N317" s="8">
        <v>20570</v>
      </c>
      <c r="O317" s="7">
        <f t="shared" si="9"/>
        <v>0.87528339618622431</v>
      </c>
    </row>
    <row r="318" spans="1:15">
      <c r="A318" s="3" t="s">
        <v>352</v>
      </c>
      <c r="B318" s="4">
        <v>45596</v>
      </c>
      <c r="C318" s="5">
        <f t="shared" si="8"/>
        <v>45566</v>
      </c>
      <c r="D318" s="3" t="s">
        <v>34</v>
      </c>
      <c r="E318" s="2" t="s">
        <v>35</v>
      </c>
      <c r="F318" s="2" t="s">
        <v>36</v>
      </c>
      <c r="G318" s="2" t="s">
        <v>37</v>
      </c>
      <c r="H318" s="3" t="s">
        <v>20</v>
      </c>
      <c r="I318" s="6">
        <v>47</v>
      </c>
      <c r="J318" s="6">
        <v>40</v>
      </c>
      <c r="K318" s="7">
        <v>0.91152414874551246</v>
      </c>
      <c r="L318" s="7">
        <v>0.95486135139138095</v>
      </c>
      <c r="M318" s="7">
        <v>0.95838424681132817</v>
      </c>
      <c r="N318" s="8">
        <v>16560</v>
      </c>
      <c r="O318" s="7">
        <f t="shared" si="9"/>
        <v>0.90321262117224443</v>
      </c>
    </row>
    <row r="319" spans="1:15">
      <c r="A319" s="3" t="s">
        <v>353</v>
      </c>
      <c r="B319" s="4">
        <v>45597</v>
      </c>
      <c r="C319" s="5">
        <f t="shared" si="8"/>
        <v>45597</v>
      </c>
      <c r="D319" s="3" t="s">
        <v>22</v>
      </c>
      <c r="E319" s="2" t="s">
        <v>23</v>
      </c>
      <c r="F319" s="2" t="s">
        <v>18</v>
      </c>
      <c r="G319" s="2" t="s">
        <v>19</v>
      </c>
      <c r="H319" s="3" t="s">
        <v>24</v>
      </c>
      <c r="I319" s="6">
        <v>46</v>
      </c>
      <c r="J319" s="6">
        <v>38</v>
      </c>
      <c r="K319" s="7">
        <v>0.88701103636349643</v>
      </c>
      <c r="L319" s="7">
        <v>0.94991000725670194</v>
      </c>
      <c r="M319" s="7">
        <v>0.97557642051728632</v>
      </c>
      <c r="N319" s="8">
        <v>21750</v>
      </c>
      <c r="O319" s="7">
        <f t="shared" si="9"/>
        <v>0.88978932689153234</v>
      </c>
    </row>
    <row r="320" spans="1:15">
      <c r="A320" s="3" t="s">
        <v>354</v>
      </c>
      <c r="B320" s="4">
        <v>45597</v>
      </c>
      <c r="C320" s="5">
        <f t="shared" si="8"/>
        <v>45597</v>
      </c>
      <c r="D320" s="3" t="s">
        <v>26</v>
      </c>
      <c r="E320" s="2" t="s">
        <v>27</v>
      </c>
      <c r="F320" s="2" t="s">
        <v>28</v>
      </c>
      <c r="G320" s="2" t="s">
        <v>29</v>
      </c>
      <c r="H320" s="3" t="s">
        <v>20</v>
      </c>
      <c r="I320" s="6">
        <v>54</v>
      </c>
      <c r="J320" s="6">
        <v>47</v>
      </c>
      <c r="K320" s="7">
        <v>0.85421642173186463</v>
      </c>
      <c r="L320" s="7">
        <v>0.9400000128126641</v>
      </c>
      <c r="M320" s="7">
        <v>0.82858515725483606</v>
      </c>
      <c r="N320" s="8">
        <v>19310</v>
      </c>
      <c r="O320" s="7">
        <f t="shared" si="9"/>
        <v>0.86841928695398107</v>
      </c>
    </row>
    <row r="321" spans="1:15">
      <c r="A321" s="3" t="s">
        <v>355</v>
      </c>
      <c r="B321" s="4">
        <v>45597</v>
      </c>
      <c r="C321" s="5">
        <f t="shared" si="8"/>
        <v>45597</v>
      </c>
      <c r="D321" s="3" t="s">
        <v>34</v>
      </c>
      <c r="E321" s="2" t="s">
        <v>35</v>
      </c>
      <c r="F321" s="2" t="s">
        <v>36</v>
      </c>
      <c r="G321" s="2" t="s">
        <v>37</v>
      </c>
      <c r="H321" s="3" t="s">
        <v>20</v>
      </c>
      <c r="I321" s="6">
        <v>49</v>
      </c>
      <c r="J321" s="6">
        <v>53</v>
      </c>
      <c r="K321" s="7">
        <v>0.8892986664187803</v>
      </c>
      <c r="L321" s="7">
        <v>0.97746089379290224</v>
      </c>
      <c r="M321" s="7">
        <v>0.91108459520005625</v>
      </c>
      <c r="N321" s="8">
        <v>27340</v>
      </c>
      <c r="O321" s="7">
        <f t="shared" si="9"/>
        <v>0.98381378093813154</v>
      </c>
    </row>
    <row r="322" spans="1:15">
      <c r="A322" s="3" t="s">
        <v>356</v>
      </c>
      <c r="B322" s="4">
        <v>45597</v>
      </c>
      <c r="C322" s="5">
        <f t="shared" ref="C322:C385" si="10">DATE(YEAR(B322),MONTH(B322),1)</f>
        <v>45597</v>
      </c>
      <c r="D322" s="3" t="s">
        <v>39</v>
      </c>
      <c r="E322" s="2" t="s">
        <v>40</v>
      </c>
      <c r="F322" s="2" t="s">
        <v>36</v>
      </c>
      <c r="G322" s="2" t="s">
        <v>37</v>
      </c>
      <c r="H322" s="3" t="s">
        <v>24</v>
      </c>
      <c r="I322" s="6">
        <v>42</v>
      </c>
      <c r="J322" s="6">
        <v>42</v>
      </c>
      <c r="K322" s="7">
        <v>0.995</v>
      </c>
      <c r="L322" s="7">
        <v>0.99789598059015938</v>
      </c>
      <c r="M322" s="7">
        <v>0.98315974401449058</v>
      </c>
      <c r="N322" s="8">
        <v>23130</v>
      </c>
      <c r="O322" s="7">
        <f t="shared" ref="O322:O385" si="11">MIN(J322/I322,1.2)*40%+K322*25%+L322*15%+M322*20%</f>
        <v>0.99506634589142207</v>
      </c>
    </row>
    <row r="323" spans="1:15">
      <c r="A323" s="3" t="s">
        <v>357</v>
      </c>
      <c r="B323" s="4">
        <v>45600</v>
      </c>
      <c r="C323" s="5">
        <f t="shared" si="10"/>
        <v>45597</v>
      </c>
      <c r="D323" s="3" t="s">
        <v>39</v>
      </c>
      <c r="E323" s="2" t="s">
        <v>40</v>
      </c>
      <c r="F323" s="2" t="s">
        <v>36</v>
      </c>
      <c r="G323" s="2" t="s">
        <v>37</v>
      </c>
      <c r="H323" s="3" t="s">
        <v>24</v>
      </c>
      <c r="I323" s="6">
        <v>42</v>
      </c>
      <c r="J323" s="6">
        <v>44</v>
      </c>
      <c r="K323" s="7">
        <v>0.95665352196921294</v>
      </c>
      <c r="L323" s="7">
        <v>1</v>
      </c>
      <c r="M323" s="7">
        <v>0.96953520119318759</v>
      </c>
      <c r="N323" s="8">
        <v>20880</v>
      </c>
      <c r="O323" s="7">
        <f t="shared" si="11"/>
        <v>1.0021180397785598</v>
      </c>
    </row>
    <row r="324" spans="1:15">
      <c r="A324" s="3" t="s">
        <v>358</v>
      </c>
      <c r="B324" s="4">
        <v>45601</v>
      </c>
      <c r="C324" s="5">
        <f t="shared" si="10"/>
        <v>45597</v>
      </c>
      <c r="D324" s="3" t="s">
        <v>34</v>
      </c>
      <c r="E324" s="2" t="s">
        <v>35</v>
      </c>
      <c r="F324" s="2" t="s">
        <v>36</v>
      </c>
      <c r="G324" s="2" t="s">
        <v>37</v>
      </c>
      <c r="H324" s="3" t="s">
        <v>20</v>
      </c>
      <c r="I324" s="6">
        <v>33</v>
      </c>
      <c r="J324" s="6">
        <v>35</v>
      </c>
      <c r="K324" s="7">
        <v>0.89529526971688211</v>
      </c>
      <c r="L324" s="7">
        <v>0.97417481543456408</v>
      </c>
      <c r="M324" s="7">
        <v>0.9541278681195029</v>
      </c>
      <c r="N324" s="8">
        <v>14320</v>
      </c>
      <c r="O324" s="7">
        <f t="shared" si="11"/>
        <v>0.98501803761072992</v>
      </c>
    </row>
    <row r="325" spans="1:15">
      <c r="A325" s="3" t="s">
        <v>359</v>
      </c>
      <c r="B325" s="4">
        <v>45601</v>
      </c>
      <c r="C325" s="5">
        <f t="shared" si="10"/>
        <v>45597</v>
      </c>
      <c r="D325" s="3" t="s">
        <v>39</v>
      </c>
      <c r="E325" s="2" t="s">
        <v>40</v>
      </c>
      <c r="F325" s="2" t="s">
        <v>36</v>
      </c>
      <c r="G325" s="2" t="s">
        <v>37</v>
      </c>
      <c r="H325" s="3" t="s">
        <v>24</v>
      </c>
      <c r="I325" s="6">
        <v>34</v>
      </c>
      <c r="J325" s="6">
        <v>34</v>
      </c>
      <c r="K325" s="7">
        <v>0.9591522932861869</v>
      </c>
      <c r="L325" s="7">
        <v>0.97650333884302432</v>
      </c>
      <c r="M325" s="7">
        <v>0.97529694239414055</v>
      </c>
      <c r="N325" s="8">
        <v>15160</v>
      </c>
      <c r="O325" s="7">
        <f t="shared" si="11"/>
        <v>0.9813229626268285</v>
      </c>
    </row>
    <row r="326" spans="1:15">
      <c r="A326" s="3" t="s">
        <v>360</v>
      </c>
      <c r="B326" s="4">
        <v>45602</v>
      </c>
      <c r="C326" s="5">
        <f t="shared" si="10"/>
        <v>45597</v>
      </c>
      <c r="D326" s="3" t="s">
        <v>34</v>
      </c>
      <c r="E326" s="2" t="s">
        <v>35</v>
      </c>
      <c r="F326" s="2" t="s">
        <v>36</v>
      </c>
      <c r="G326" s="2" t="s">
        <v>37</v>
      </c>
      <c r="H326" s="3" t="s">
        <v>20</v>
      </c>
      <c r="I326" s="6">
        <v>47</v>
      </c>
      <c r="J326" s="6">
        <v>40</v>
      </c>
      <c r="K326" s="7">
        <v>0.92542407226393442</v>
      </c>
      <c r="L326" s="7">
        <v>0.98099023195971902</v>
      </c>
      <c r="M326" s="7">
        <v>0.995</v>
      </c>
      <c r="N326" s="8">
        <v>16770</v>
      </c>
      <c r="O326" s="7">
        <f t="shared" si="11"/>
        <v>0.91793008477483506</v>
      </c>
    </row>
    <row r="327" spans="1:15">
      <c r="A327" s="3" t="s">
        <v>361</v>
      </c>
      <c r="B327" s="4">
        <v>45603</v>
      </c>
      <c r="C327" s="5">
        <f t="shared" si="10"/>
        <v>45597</v>
      </c>
      <c r="D327" s="3" t="s">
        <v>16</v>
      </c>
      <c r="E327" s="2" t="s">
        <v>17</v>
      </c>
      <c r="F327" s="2" t="s">
        <v>18</v>
      </c>
      <c r="G327" s="2" t="s">
        <v>19</v>
      </c>
      <c r="H327" s="3" t="s">
        <v>20</v>
      </c>
      <c r="I327" s="6">
        <v>43</v>
      </c>
      <c r="J327" s="6">
        <v>41</v>
      </c>
      <c r="K327" s="7">
        <v>0.9314458126171351</v>
      </c>
      <c r="L327" s="7">
        <v>0.97124204249623347</v>
      </c>
      <c r="M327" s="7">
        <v>0.9303172012889408</v>
      </c>
      <c r="N327" s="8">
        <v>22090</v>
      </c>
      <c r="O327" s="7">
        <f t="shared" si="11"/>
        <v>0.94600654862371636</v>
      </c>
    </row>
    <row r="328" spans="1:15">
      <c r="A328" s="3" t="s">
        <v>362</v>
      </c>
      <c r="B328" s="4">
        <v>45607</v>
      </c>
      <c r="C328" s="5">
        <f t="shared" si="10"/>
        <v>45597</v>
      </c>
      <c r="D328" s="3" t="s">
        <v>34</v>
      </c>
      <c r="E328" s="2" t="s">
        <v>35</v>
      </c>
      <c r="F328" s="2" t="s">
        <v>36</v>
      </c>
      <c r="G328" s="2" t="s">
        <v>37</v>
      </c>
      <c r="H328" s="3" t="s">
        <v>20</v>
      </c>
      <c r="I328" s="6">
        <v>51</v>
      </c>
      <c r="J328" s="6">
        <v>51</v>
      </c>
      <c r="K328" s="7">
        <v>0.93423120865892373</v>
      </c>
      <c r="L328" s="7">
        <v>0.97261763088282771</v>
      </c>
      <c r="M328" s="7">
        <v>0.94035863788040253</v>
      </c>
      <c r="N328" s="8">
        <v>20900</v>
      </c>
      <c r="O328" s="7">
        <f t="shared" si="11"/>
        <v>0.96752217437323562</v>
      </c>
    </row>
    <row r="329" spans="1:15">
      <c r="A329" s="3" t="s">
        <v>363</v>
      </c>
      <c r="B329" s="4">
        <v>45608</v>
      </c>
      <c r="C329" s="5">
        <f t="shared" si="10"/>
        <v>45597</v>
      </c>
      <c r="D329" s="3" t="s">
        <v>34</v>
      </c>
      <c r="E329" s="2" t="s">
        <v>35</v>
      </c>
      <c r="F329" s="2" t="s">
        <v>36</v>
      </c>
      <c r="G329" s="2" t="s">
        <v>37</v>
      </c>
      <c r="H329" s="3" t="s">
        <v>20</v>
      </c>
      <c r="I329" s="6">
        <v>51</v>
      </c>
      <c r="J329" s="6">
        <v>49</v>
      </c>
      <c r="K329" s="7">
        <v>0.90462859657610595</v>
      </c>
      <c r="L329" s="7">
        <v>0.95369294279326644</v>
      </c>
      <c r="M329" s="7">
        <v>0.93036509571500847</v>
      </c>
      <c r="N329" s="8">
        <v>20360</v>
      </c>
      <c r="O329" s="7">
        <f t="shared" si="11"/>
        <v>0.9395978351962142</v>
      </c>
    </row>
    <row r="330" spans="1:15">
      <c r="A330" s="3" t="s">
        <v>364</v>
      </c>
      <c r="B330" s="4">
        <v>45608</v>
      </c>
      <c r="C330" s="5">
        <f t="shared" si="10"/>
        <v>45597</v>
      </c>
      <c r="D330" s="3" t="s">
        <v>39</v>
      </c>
      <c r="E330" s="2" t="s">
        <v>40</v>
      </c>
      <c r="F330" s="2" t="s">
        <v>36</v>
      </c>
      <c r="G330" s="2" t="s">
        <v>37</v>
      </c>
      <c r="H330" s="3" t="s">
        <v>24</v>
      </c>
      <c r="I330" s="6">
        <v>33</v>
      </c>
      <c r="J330" s="6">
        <v>34</v>
      </c>
      <c r="K330" s="7">
        <v>0.96227686116320055</v>
      </c>
      <c r="L330" s="7">
        <v>0.98137835739006662</v>
      </c>
      <c r="M330" s="7">
        <v>0.98886152940917416</v>
      </c>
      <c r="N330" s="8">
        <v>16590</v>
      </c>
      <c r="O330" s="7">
        <f t="shared" si="11"/>
        <v>0.99766948690235702</v>
      </c>
    </row>
    <row r="331" spans="1:15">
      <c r="A331" s="3" t="s">
        <v>365</v>
      </c>
      <c r="B331" s="4">
        <v>45611</v>
      </c>
      <c r="C331" s="5">
        <f t="shared" si="10"/>
        <v>45597</v>
      </c>
      <c r="D331" s="3" t="s">
        <v>26</v>
      </c>
      <c r="E331" s="2" t="s">
        <v>27</v>
      </c>
      <c r="F331" s="2" t="s">
        <v>28</v>
      </c>
      <c r="G331" s="2" t="s">
        <v>29</v>
      </c>
      <c r="H331" s="3" t="s">
        <v>20</v>
      </c>
      <c r="I331" s="6">
        <v>49</v>
      </c>
      <c r="J331" s="6">
        <v>48</v>
      </c>
      <c r="K331" s="7">
        <v>0.86908897214010628</v>
      </c>
      <c r="L331" s="7">
        <v>0.94518513554281591</v>
      </c>
      <c r="M331" s="7">
        <v>0.91207574508770828</v>
      </c>
      <c r="N331" s="8">
        <v>18620</v>
      </c>
      <c r="O331" s="7">
        <f t="shared" si="11"/>
        <v>0.93330189707786815</v>
      </c>
    </row>
    <row r="332" spans="1:15">
      <c r="A332" s="3" t="s">
        <v>366</v>
      </c>
      <c r="B332" s="4">
        <v>45611</v>
      </c>
      <c r="C332" s="5">
        <f t="shared" si="10"/>
        <v>45597</v>
      </c>
      <c r="D332" s="3" t="s">
        <v>26</v>
      </c>
      <c r="E332" s="2" t="s">
        <v>27</v>
      </c>
      <c r="F332" s="2" t="s">
        <v>28</v>
      </c>
      <c r="G332" s="2" t="s">
        <v>29</v>
      </c>
      <c r="H332" s="3" t="s">
        <v>20</v>
      </c>
      <c r="I332" s="6">
        <v>51</v>
      </c>
      <c r="J332" s="6">
        <v>42</v>
      </c>
      <c r="K332" s="7">
        <v>0.95480486155418831</v>
      </c>
      <c r="L332" s="7">
        <v>0.91930159768993724</v>
      </c>
      <c r="M332" s="7">
        <v>0.85818575463352331</v>
      </c>
      <c r="N332" s="8">
        <v>15320</v>
      </c>
      <c r="O332" s="7">
        <f t="shared" si="11"/>
        <v>0.87764537067462478</v>
      </c>
    </row>
    <row r="333" spans="1:15">
      <c r="A333" s="3" t="s">
        <v>367</v>
      </c>
      <c r="B333" s="4">
        <v>45611</v>
      </c>
      <c r="C333" s="5">
        <f t="shared" si="10"/>
        <v>45597</v>
      </c>
      <c r="D333" s="3" t="s">
        <v>43</v>
      </c>
      <c r="E333" s="2" t="s">
        <v>44</v>
      </c>
      <c r="F333" s="2" t="s">
        <v>28</v>
      </c>
      <c r="G333" s="2" t="s">
        <v>29</v>
      </c>
      <c r="H333" s="3" t="s">
        <v>45</v>
      </c>
      <c r="I333" s="6">
        <v>47</v>
      </c>
      <c r="J333" s="6">
        <v>50</v>
      </c>
      <c r="K333" s="7">
        <v>0.95910650000568376</v>
      </c>
      <c r="L333" s="7">
        <v>0.98361004260598683</v>
      </c>
      <c r="M333" s="7">
        <v>0.89011319552940726</v>
      </c>
      <c r="N333" s="8">
        <v>21190</v>
      </c>
      <c r="O333" s="7">
        <f t="shared" si="11"/>
        <v>0.9908726853918175</v>
      </c>
    </row>
    <row r="334" spans="1:15">
      <c r="A334" s="3" t="s">
        <v>368</v>
      </c>
      <c r="B334" s="4">
        <v>45611</v>
      </c>
      <c r="C334" s="5">
        <f t="shared" si="10"/>
        <v>45597</v>
      </c>
      <c r="D334" s="3" t="s">
        <v>39</v>
      </c>
      <c r="E334" s="2" t="s">
        <v>40</v>
      </c>
      <c r="F334" s="2" t="s">
        <v>36</v>
      </c>
      <c r="G334" s="2" t="s">
        <v>37</v>
      </c>
      <c r="H334" s="3" t="s">
        <v>24</v>
      </c>
      <c r="I334" s="6">
        <v>39</v>
      </c>
      <c r="J334" s="6">
        <v>42</v>
      </c>
      <c r="K334" s="7">
        <v>0.99365120731403078</v>
      </c>
      <c r="L334" s="7">
        <v>0.99221725914285641</v>
      </c>
      <c r="M334" s="7">
        <v>0.995</v>
      </c>
      <c r="N334" s="8">
        <v>22760</v>
      </c>
      <c r="O334" s="7">
        <f t="shared" si="11"/>
        <v>1.0270146214691669</v>
      </c>
    </row>
    <row r="335" spans="1:15">
      <c r="A335" s="3" t="s">
        <v>369</v>
      </c>
      <c r="B335" s="4">
        <v>45616</v>
      </c>
      <c r="C335" s="5">
        <f t="shared" si="10"/>
        <v>45597</v>
      </c>
      <c r="D335" s="3" t="s">
        <v>22</v>
      </c>
      <c r="E335" s="2" t="s">
        <v>23</v>
      </c>
      <c r="F335" s="2" t="s">
        <v>18</v>
      </c>
      <c r="G335" s="2" t="s">
        <v>19</v>
      </c>
      <c r="H335" s="3" t="s">
        <v>24</v>
      </c>
      <c r="I335" s="6">
        <v>48</v>
      </c>
      <c r="J335" s="6">
        <v>45</v>
      </c>
      <c r="K335" s="7">
        <v>0.88027815452855385</v>
      </c>
      <c r="L335" s="7">
        <v>0.96338463422300935</v>
      </c>
      <c r="M335" s="7">
        <v>0.94475328139837633</v>
      </c>
      <c r="N335" s="8">
        <v>21960</v>
      </c>
      <c r="O335" s="7">
        <f t="shared" si="11"/>
        <v>0.92852789004526515</v>
      </c>
    </row>
    <row r="336" spans="1:15">
      <c r="A336" s="3" t="s">
        <v>370</v>
      </c>
      <c r="B336" s="4">
        <v>45617</v>
      </c>
      <c r="C336" s="5">
        <f t="shared" si="10"/>
        <v>45597</v>
      </c>
      <c r="D336" s="3" t="s">
        <v>39</v>
      </c>
      <c r="E336" s="2" t="s">
        <v>40</v>
      </c>
      <c r="F336" s="2" t="s">
        <v>36</v>
      </c>
      <c r="G336" s="2" t="s">
        <v>37</v>
      </c>
      <c r="H336" s="3" t="s">
        <v>24</v>
      </c>
      <c r="I336" s="6">
        <v>50</v>
      </c>
      <c r="J336" s="6">
        <v>50</v>
      </c>
      <c r="K336" s="7">
        <v>0.97813212002786276</v>
      </c>
      <c r="L336" s="7">
        <v>0.95452918989875113</v>
      </c>
      <c r="M336" s="7">
        <v>0.95886913893584902</v>
      </c>
      <c r="N336" s="8">
        <v>24100</v>
      </c>
      <c r="O336" s="7">
        <f t="shared" si="11"/>
        <v>0.97948623627894815</v>
      </c>
    </row>
    <row r="337" spans="1:15">
      <c r="A337" s="3" t="s">
        <v>371</v>
      </c>
      <c r="B337" s="4">
        <v>45618</v>
      </c>
      <c r="C337" s="5">
        <f t="shared" si="10"/>
        <v>45597</v>
      </c>
      <c r="D337" s="3" t="s">
        <v>22</v>
      </c>
      <c r="E337" s="2" t="s">
        <v>23</v>
      </c>
      <c r="F337" s="2" t="s">
        <v>18</v>
      </c>
      <c r="G337" s="2" t="s">
        <v>19</v>
      </c>
      <c r="H337" s="3" t="s">
        <v>24</v>
      </c>
      <c r="I337" s="6">
        <v>49</v>
      </c>
      <c r="J337" s="6">
        <v>46</v>
      </c>
      <c r="K337" s="7">
        <v>0.92917302145256886</v>
      </c>
      <c r="L337" s="7">
        <v>0.92339983067021136</v>
      </c>
      <c r="M337" s="7">
        <v>0.93510276899541278</v>
      </c>
      <c r="N337" s="8">
        <v>27890</v>
      </c>
      <c r="O337" s="7">
        <f t="shared" si="11"/>
        <v>0.93333398784438926</v>
      </c>
    </row>
    <row r="338" spans="1:15">
      <c r="A338" s="3" t="s">
        <v>372</v>
      </c>
      <c r="B338" s="4">
        <v>45618</v>
      </c>
      <c r="C338" s="5">
        <f t="shared" si="10"/>
        <v>45597</v>
      </c>
      <c r="D338" s="3" t="s">
        <v>22</v>
      </c>
      <c r="E338" s="2" t="s">
        <v>23</v>
      </c>
      <c r="F338" s="2" t="s">
        <v>18</v>
      </c>
      <c r="G338" s="2" t="s">
        <v>19</v>
      </c>
      <c r="H338" s="3" t="s">
        <v>24</v>
      </c>
      <c r="I338" s="6">
        <v>51</v>
      </c>
      <c r="J338" s="6">
        <v>58</v>
      </c>
      <c r="K338" s="7">
        <v>0.9470014738992123</v>
      </c>
      <c r="L338" s="7">
        <v>0.96491028030972892</v>
      </c>
      <c r="M338" s="7">
        <v>0.9341019850806076</v>
      </c>
      <c r="N338" s="8">
        <v>33790</v>
      </c>
      <c r="O338" s="7">
        <f t="shared" si="11"/>
        <v>1.0232092683216978</v>
      </c>
    </row>
    <row r="339" spans="1:15">
      <c r="A339" s="3" t="s">
        <v>373</v>
      </c>
      <c r="B339" s="4">
        <v>45618</v>
      </c>
      <c r="C339" s="5">
        <f t="shared" si="10"/>
        <v>45597</v>
      </c>
      <c r="D339" s="3" t="s">
        <v>34</v>
      </c>
      <c r="E339" s="2" t="s">
        <v>35</v>
      </c>
      <c r="F339" s="2" t="s">
        <v>36</v>
      </c>
      <c r="G339" s="2" t="s">
        <v>37</v>
      </c>
      <c r="H339" s="3" t="s">
        <v>20</v>
      </c>
      <c r="I339" s="6">
        <v>45</v>
      </c>
      <c r="J339" s="6">
        <v>44</v>
      </c>
      <c r="K339" s="7">
        <v>0.93860772447114404</v>
      </c>
      <c r="L339" s="7">
        <v>0.9523095471862999</v>
      </c>
      <c r="M339" s="7">
        <v>0.95042595411553688</v>
      </c>
      <c r="N339" s="8">
        <v>18800</v>
      </c>
      <c r="O339" s="7">
        <f t="shared" si="11"/>
        <v>0.9586946651299495</v>
      </c>
    </row>
    <row r="340" spans="1:15">
      <c r="A340" s="3" t="s">
        <v>374</v>
      </c>
      <c r="B340" s="4">
        <v>45621</v>
      </c>
      <c r="C340" s="5">
        <f t="shared" si="10"/>
        <v>45597</v>
      </c>
      <c r="D340" s="3" t="s">
        <v>26</v>
      </c>
      <c r="E340" s="2" t="s">
        <v>27</v>
      </c>
      <c r="F340" s="2" t="s">
        <v>28</v>
      </c>
      <c r="G340" s="2" t="s">
        <v>29</v>
      </c>
      <c r="H340" s="3" t="s">
        <v>20</v>
      </c>
      <c r="I340" s="6">
        <v>52</v>
      </c>
      <c r="J340" s="6">
        <v>47</v>
      </c>
      <c r="K340" s="7">
        <v>0.92910249265302214</v>
      </c>
      <c r="L340" s="7">
        <v>0.94081346263241961</v>
      </c>
      <c r="M340" s="7">
        <v>0.87135066177107889</v>
      </c>
      <c r="N340" s="8">
        <v>18120</v>
      </c>
      <c r="O340" s="7">
        <f t="shared" si="11"/>
        <v>0.90920623645079579</v>
      </c>
    </row>
    <row r="341" spans="1:15">
      <c r="A341" s="3" t="s">
        <v>375</v>
      </c>
      <c r="B341" s="4">
        <v>45623</v>
      </c>
      <c r="C341" s="5">
        <f t="shared" si="10"/>
        <v>45597</v>
      </c>
      <c r="D341" s="3" t="s">
        <v>16</v>
      </c>
      <c r="E341" s="2" t="s">
        <v>17</v>
      </c>
      <c r="F341" s="2" t="s">
        <v>18</v>
      </c>
      <c r="G341" s="2" t="s">
        <v>19</v>
      </c>
      <c r="H341" s="3" t="s">
        <v>20</v>
      </c>
      <c r="I341" s="6">
        <v>50</v>
      </c>
      <c r="J341" s="6">
        <v>48</v>
      </c>
      <c r="K341" s="7">
        <v>0.910020467280092</v>
      </c>
      <c r="L341" s="7">
        <v>0.98505500430050219</v>
      </c>
      <c r="M341" s="7">
        <v>0.96763990255940113</v>
      </c>
      <c r="N341" s="8">
        <v>24540</v>
      </c>
      <c r="O341" s="7">
        <f t="shared" si="11"/>
        <v>0.95279134797697851</v>
      </c>
    </row>
    <row r="342" spans="1:15">
      <c r="A342" s="3" t="s">
        <v>376</v>
      </c>
      <c r="B342" s="4">
        <v>45623</v>
      </c>
      <c r="C342" s="5">
        <f t="shared" si="10"/>
        <v>45597</v>
      </c>
      <c r="D342" s="3" t="s">
        <v>43</v>
      </c>
      <c r="E342" s="2" t="s">
        <v>44</v>
      </c>
      <c r="F342" s="2" t="s">
        <v>28</v>
      </c>
      <c r="G342" s="2" t="s">
        <v>29</v>
      </c>
      <c r="H342" s="3" t="s">
        <v>45</v>
      </c>
      <c r="I342" s="6">
        <v>31</v>
      </c>
      <c r="J342" s="6">
        <v>33</v>
      </c>
      <c r="K342" s="7">
        <v>0.94696270727814835</v>
      </c>
      <c r="L342" s="7">
        <v>0.92662975308843987</v>
      </c>
      <c r="M342" s="7">
        <v>0.91263739163894675</v>
      </c>
      <c r="N342" s="8">
        <v>14500</v>
      </c>
      <c r="O342" s="7">
        <f t="shared" si="11"/>
        <v>0.98406906972349562</v>
      </c>
    </row>
    <row r="343" spans="1:15">
      <c r="A343" s="3" t="s">
        <v>377</v>
      </c>
      <c r="B343" s="4">
        <v>45623</v>
      </c>
      <c r="C343" s="5">
        <f t="shared" si="10"/>
        <v>45597</v>
      </c>
      <c r="D343" s="3" t="s">
        <v>34</v>
      </c>
      <c r="E343" s="2" t="s">
        <v>35</v>
      </c>
      <c r="F343" s="2" t="s">
        <v>36</v>
      </c>
      <c r="G343" s="2" t="s">
        <v>37</v>
      </c>
      <c r="H343" s="3" t="s">
        <v>20</v>
      </c>
      <c r="I343" s="6">
        <v>51</v>
      </c>
      <c r="J343" s="6">
        <v>40</v>
      </c>
      <c r="K343" s="7">
        <v>0.94161995785692132</v>
      </c>
      <c r="L343" s="7">
        <v>0.93092052140847004</v>
      </c>
      <c r="M343" s="7">
        <v>0.90885824230571921</v>
      </c>
      <c r="N343" s="8">
        <v>16840</v>
      </c>
      <c r="O343" s="7">
        <f t="shared" si="11"/>
        <v>0.870540206332723</v>
      </c>
    </row>
    <row r="344" spans="1:15">
      <c r="A344" s="3" t="s">
        <v>378</v>
      </c>
      <c r="B344" s="4">
        <v>45624</v>
      </c>
      <c r="C344" s="5">
        <f t="shared" si="10"/>
        <v>45597</v>
      </c>
      <c r="D344" s="3" t="s">
        <v>22</v>
      </c>
      <c r="E344" s="2" t="s">
        <v>23</v>
      </c>
      <c r="F344" s="2" t="s">
        <v>18</v>
      </c>
      <c r="G344" s="2" t="s">
        <v>19</v>
      </c>
      <c r="H344" s="3" t="s">
        <v>24</v>
      </c>
      <c r="I344" s="6">
        <v>55</v>
      </c>
      <c r="J344" s="6">
        <v>48</v>
      </c>
      <c r="K344" s="7">
        <v>0.95236797407740459</v>
      </c>
      <c r="L344" s="7">
        <v>0.93375201644527306</v>
      </c>
      <c r="M344" s="7">
        <v>0.968349661259576</v>
      </c>
      <c r="N344" s="8">
        <v>27450</v>
      </c>
      <c r="O344" s="7">
        <f t="shared" si="11"/>
        <v>0.92091563732896642</v>
      </c>
    </row>
    <row r="345" spans="1:15">
      <c r="A345" s="3" t="s">
        <v>379</v>
      </c>
      <c r="B345" s="4">
        <v>45624</v>
      </c>
      <c r="C345" s="5">
        <f t="shared" si="10"/>
        <v>45597</v>
      </c>
      <c r="D345" s="3" t="s">
        <v>26</v>
      </c>
      <c r="E345" s="2" t="s">
        <v>27</v>
      </c>
      <c r="F345" s="2" t="s">
        <v>28</v>
      </c>
      <c r="G345" s="2" t="s">
        <v>29</v>
      </c>
      <c r="H345" s="3" t="s">
        <v>20</v>
      </c>
      <c r="I345" s="6">
        <v>53</v>
      </c>
      <c r="J345" s="6">
        <v>44</v>
      </c>
      <c r="K345" s="7">
        <v>0.90487566489802385</v>
      </c>
      <c r="L345" s="7">
        <v>0.97258498138096894</v>
      </c>
      <c r="M345" s="7">
        <v>0.86506776950296504</v>
      </c>
      <c r="N345" s="8">
        <v>19060</v>
      </c>
      <c r="O345" s="7">
        <f t="shared" si="11"/>
        <v>0.87719568903035761</v>
      </c>
    </row>
    <row r="346" spans="1:15">
      <c r="A346" s="3" t="s">
        <v>380</v>
      </c>
      <c r="B346" s="4">
        <v>45625</v>
      </c>
      <c r="C346" s="5">
        <f t="shared" si="10"/>
        <v>45597</v>
      </c>
      <c r="D346" s="3" t="s">
        <v>39</v>
      </c>
      <c r="E346" s="2" t="s">
        <v>40</v>
      </c>
      <c r="F346" s="2" t="s">
        <v>36</v>
      </c>
      <c r="G346" s="2" t="s">
        <v>37</v>
      </c>
      <c r="H346" s="3" t="s">
        <v>24</v>
      </c>
      <c r="I346" s="6">
        <v>32</v>
      </c>
      <c r="J346" s="6">
        <v>35</v>
      </c>
      <c r="K346" s="7">
        <v>0.97195142946400381</v>
      </c>
      <c r="L346" s="7">
        <v>0.96667767380219172</v>
      </c>
      <c r="M346" s="7">
        <v>0.995</v>
      </c>
      <c r="N346" s="8">
        <v>17770</v>
      </c>
      <c r="O346" s="7">
        <f t="shared" si="11"/>
        <v>1.0244895084363297</v>
      </c>
    </row>
    <row r="347" spans="1:15">
      <c r="A347" s="3" t="s">
        <v>381</v>
      </c>
      <c r="B347" s="4">
        <v>45625</v>
      </c>
      <c r="C347" s="5">
        <f t="shared" si="10"/>
        <v>45597</v>
      </c>
      <c r="D347" s="3" t="s">
        <v>39</v>
      </c>
      <c r="E347" s="2" t="s">
        <v>40</v>
      </c>
      <c r="F347" s="2" t="s">
        <v>36</v>
      </c>
      <c r="G347" s="2" t="s">
        <v>37</v>
      </c>
      <c r="H347" s="3" t="s">
        <v>24</v>
      </c>
      <c r="I347" s="6">
        <v>45</v>
      </c>
      <c r="J347" s="6">
        <v>44</v>
      </c>
      <c r="K347" s="7">
        <v>0.9259355480577196</v>
      </c>
      <c r="L347" s="7">
        <v>0.96216618992592318</v>
      </c>
      <c r="M347" s="7">
        <v>0.96441713466266965</v>
      </c>
      <c r="N347" s="8">
        <v>20730</v>
      </c>
      <c r="O347" s="7">
        <f t="shared" si="11"/>
        <v>0.95980335354696333</v>
      </c>
    </row>
    <row r="348" spans="1:15">
      <c r="A348" s="3" t="s">
        <v>382</v>
      </c>
      <c r="B348" s="4">
        <v>45630</v>
      </c>
      <c r="C348" s="5">
        <f t="shared" si="10"/>
        <v>45627</v>
      </c>
      <c r="D348" s="3" t="s">
        <v>22</v>
      </c>
      <c r="E348" s="2" t="s">
        <v>23</v>
      </c>
      <c r="F348" s="2" t="s">
        <v>18</v>
      </c>
      <c r="G348" s="2" t="s">
        <v>19</v>
      </c>
      <c r="H348" s="3" t="s">
        <v>24</v>
      </c>
      <c r="I348" s="6">
        <v>35</v>
      </c>
      <c r="J348" s="6">
        <v>38</v>
      </c>
      <c r="K348" s="7">
        <v>0.9223787202646494</v>
      </c>
      <c r="L348" s="7">
        <v>0.98849717615667776</v>
      </c>
      <c r="M348" s="7">
        <v>0.92168231511740351</v>
      </c>
      <c r="N348" s="8">
        <v>22000</v>
      </c>
      <c r="O348" s="7">
        <f t="shared" si="11"/>
        <v>0.99749143379885896</v>
      </c>
    </row>
    <row r="349" spans="1:15">
      <c r="A349" s="3" t="s">
        <v>383</v>
      </c>
      <c r="B349" s="4">
        <v>45630</v>
      </c>
      <c r="C349" s="5">
        <f t="shared" si="10"/>
        <v>45627</v>
      </c>
      <c r="D349" s="3" t="s">
        <v>43</v>
      </c>
      <c r="E349" s="2" t="s">
        <v>44</v>
      </c>
      <c r="F349" s="2" t="s">
        <v>28</v>
      </c>
      <c r="G349" s="2" t="s">
        <v>29</v>
      </c>
      <c r="H349" s="3" t="s">
        <v>45</v>
      </c>
      <c r="I349" s="6">
        <v>30</v>
      </c>
      <c r="J349" s="6">
        <v>29</v>
      </c>
      <c r="K349" s="7">
        <v>0.94994267633444773</v>
      </c>
      <c r="L349" s="7">
        <v>0.95768616594612366</v>
      </c>
      <c r="M349" s="7">
        <v>0.92307598965706061</v>
      </c>
      <c r="N349" s="8">
        <v>12960</v>
      </c>
      <c r="O349" s="7">
        <f t="shared" si="11"/>
        <v>0.95242045857360935</v>
      </c>
    </row>
    <row r="350" spans="1:15">
      <c r="A350" s="3" t="s">
        <v>384</v>
      </c>
      <c r="B350" s="4">
        <v>45630</v>
      </c>
      <c r="C350" s="5">
        <f t="shared" si="10"/>
        <v>45627</v>
      </c>
      <c r="D350" s="3" t="s">
        <v>43</v>
      </c>
      <c r="E350" s="2" t="s">
        <v>44</v>
      </c>
      <c r="F350" s="2" t="s">
        <v>28</v>
      </c>
      <c r="G350" s="2" t="s">
        <v>29</v>
      </c>
      <c r="H350" s="3" t="s">
        <v>45</v>
      </c>
      <c r="I350" s="6">
        <v>33</v>
      </c>
      <c r="J350" s="6">
        <v>33</v>
      </c>
      <c r="K350" s="7">
        <v>0.91584995351285914</v>
      </c>
      <c r="L350" s="7">
        <v>0.97940570084619549</v>
      </c>
      <c r="M350" s="7">
        <v>0.9155406215190377</v>
      </c>
      <c r="N350" s="8">
        <v>13270</v>
      </c>
      <c r="O350" s="7">
        <f t="shared" si="11"/>
        <v>0.95898146780895166</v>
      </c>
    </row>
    <row r="351" spans="1:15">
      <c r="A351" s="3" t="s">
        <v>385</v>
      </c>
      <c r="B351" s="4">
        <v>45630</v>
      </c>
      <c r="C351" s="5">
        <f t="shared" si="10"/>
        <v>45627</v>
      </c>
      <c r="D351" s="3" t="s">
        <v>34</v>
      </c>
      <c r="E351" s="2" t="s">
        <v>35</v>
      </c>
      <c r="F351" s="2" t="s">
        <v>36</v>
      </c>
      <c r="G351" s="2" t="s">
        <v>37</v>
      </c>
      <c r="H351" s="3" t="s">
        <v>20</v>
      </c>
      <c r="I351" s="6">
        <v>42</v>
      </c>
      <c r="J351" s="6">
        <v>40</v>
      </c>
      <c r="K351" s="7">
        <v>0.91769997688310889</v>
      </c>
      <c r="L351" s="7">
        <v>0.96903699293651691</v>
      </c>
      <c r="M351" s="7">
        <v>0.95960088342049465</v>
      </c>
      <c r="N351" s="8">
        <v>16250</v>
      </c>
      <c r="O351" s="7">
        <f t="shared" si="11"/>
        <v>0.94765310079773468</v>
      </c>
    </row>
    <row r="352" spans="1:15">
      <c r="A352" s="3" t="s">
        <v>386</v>
      </c>
      <c r="B352" s="4">
        <v>45631</v>
      </c>
      <c r="C352" s="5">
        <f t="shared" si="10"/>
        <v>45627</v>
      </c>
      <c r="D352" s="3" t="s">
        <v>34</v>
      </c>
      <c r="E352" s="2" t="s">
        <v>35</v>
      </c>
      <c r="F352" s="2" t="s">
        <v>36</v>
      </c>
      <c r="G352" s="2" t="s">
        <v>37</v>
      </c>
      <c r="H352" s="3" t="s">
        <v>20</v>
      </c>
      <c r="I352" s="6">
        <v>55</v>
      </c>
      <c r="J352" s="6">
        <v>59</v>
      </c>
      <c r="K352" s="7">
        <v>0.96020832133356804</v>
      </c>
      <c r="L352" s="7">
        <v>0.99203186065638105</v>
      </c>
      <c r="M352" s="7">
        <v>0.97477595825251484</v>
      </c>
      <c r="N352" s="8">
        <v>23830</v>
      </c>
      <c r="O352" s="7">
        <f t="shared" si="11"/>
        <v>1.0129029601732613</v>
      </c>
    </row>
    <row r="353" spans="1:15">
      <c r="A353" s="3" t="s">
        <v>387</v>
      </c>
      <c r="B353" s="4">
        <v>45631</v>
      </c>
      <c r="C353" s="5">
        <f t="shared" si="10"/>
        <v>45627</v>
      </c>
      <c r="D353" s="3" t="s">
        <v>34</v>
      </c>
      <c r="E353" s="2" t="s">
        <v>35</v>
      </c>
      <c r="F353" s="2" t="s">
        <v>36</v>
      </c>
      <c r="G353" s="2" t="s">
        <v>37</v>
      </c>
      <c r="H353" s="3" t="s">
        <v>20</v>
      </c>
      <c r="I353" s="6">
        <v>29</v>
      </c>
      <c r="J353" s="6">
        <v>28</v>
      </c>
      <c r="K353" s="7">
        <v>0.93610654163203944</v>
      </c>
      <c r="L353" s="7">
        <v>0.96630882324633338</v>
      </c>
      <c r="M353" s="7">
        <v>0.90681713749243542</v>
      </c>
      <c r="N353" s="8">
        <v>13200</v>
      </c>
      <c r="O353" s="7">
        <f t="shared" si="11"/>
        <v>0.9465432829451712</v>
      </c>
    </row>
    <row r="354" spans="1:15">
      <c r="A354" s="3" t="s">
        <v>388</v>
      </c>
      <c r="B354" s="4">
        <v>45631</v>
      </c>
      <c r="C354" s="5">
        <f t="shared" si="10"/>
        <v>45627</v>
      </c>
      <c r="D354" s="3" t="s">
        <v>39</v>
      </c>
      <c r="E354" s="2" t="s">
        <v>40</v>
      </c>
      <c r="F354" s="2" t="s">
        <v>36</v>
      </c>
      <c r="G354" s="2" t="s">
        <v>37</v>
      </c>
      <c r="H354" s="3" t="s">
        <v>24</v>
      </c>
      <c r="I354" s="6">
        <v>39</v>
      </c>
      <c r="J354" s="6">
        <v>41</v>
      </c>
      <c r="K354" s="7">
        <v>0.98255915410787364</v>
      </c>
      <c r="L354" s="7">
        <v>0.99205647659886464</v>
      </c>
      <c r="M354" s="7">
        <v>0.94550362428372003</v>
      </c>
      <c r="N354" s="8">
        <v>21850</v>
      </c>
      <c r="O354" s="7">
        <f t="shared" si="11"/>
        <v>1.0040618053863626</v>
      </c>
    </row>
    <row r="355" spans="1:15">
      <c r="A355" s="3" t="s">
        <v>389</v>
      </c>
      <c r="B355" s="4">
        <v>45632</v>
      </c>
      <c r="C355" s="5">
        <f t="shared" si="10"/>
        <v>45627</v>
      </c>
      <c r="D355" s="3" t="s">
        <v>16</v>
      </c>
      <c r="E355" s="2" t="s">
        <v>17</v>
      </c>
      <c r="F355" s="2" t="s">
        <v>18</v>
      </c>
      <c r="G355" s="2" t="s">
        <v>19</v>
      </c>
      <c r="H355" s="3" t="s">
        <v>20</v>
      </c>
      <c r="I355" s="6">
        <v>37</v>
      </c>
      <c r="J355" s="6">
        <v>39</v>
      </c>
      <c r="K355" s="7">
        <v>0.94057467811478512</v>
      </c>
      <c r="L355" s="7">
        <v>1</v>
      </c>
      <c r="M355" s="7">
        <v>0.90343108585714282</v>
      </c>
      <c r="N355" s="8">
        <v>20170</v>
      </c>
      <c r="O355" s="7">
        <f t="shared" si="11"/>
        <v>0.98745150832174655</v>
      </c>
    </row>
    <row r="356" spans="1:15">
      <c r="A356" s="3" t="s">
        <v>390</v>
      </c>
      <c r="B356" s="4">
        <v>45632</v>
      </c>
      <c r="C356" s="5">
        <f t="shared" si="10"/>
        <v>45627</v>
      </c>
      <c r="D356" s="3" t="s">
        <v>26</v>
      </c>
      <c r="E356" s="2" t="s">
        <v>27</v>
      </c>
      <c r="F356" s="2" t="s">
        <v>28</v>
      </c>
      <c r="G356" s="2" t="s">
        <v>29</v>
      </c>
      <c r="H356" s="3" t="s">
        <v>20</v>
      </c>
      <c r="I356" s="6">
        <v>29</v>
      </c>
      <c r="J356" s="6">
        <v>27</v>
      </c>
      <c r="K356" s="7">
        <v>0.94745133757095878</v>
      </c>
      <c r="L356" s="7">
        <v>0.95298687399068005</v>
      </c>
      <c r="M356" s="7">
        <v>0.89920826598385795</v>
      </c>
      <c r="N356" s="8">
        <v>12220</v>
      </c>
      <c r="O356" s="7">
        <f t="shared" si="11"/>
        <v>0.93206631179156163</v>
      </c>
    </row>
    <row r="357" spans="1:15">
      <c r="A357" s="3" t="s">
        <v>391</v>
      </c>
      <c r="B357" s="4">
        <v>45632</v>
      </c>
      <c r="C357" s="5">
        <f t="shared" si="10"/>
        <v>45627</v>
      </c>
      <c r="D357" s="3" t="s">
        <v>43</v>
      </c>
      <c r="E357" s="2" t="s">
        <v>44</v>
      </c>
      <c r="F357" s="2" t="s">
        <v>28</v>
      </c>
      <c r="G357" s="2" t="s">
        <v>29</v>
      </c>
      <c r="H357" s="3" t="s">
        <v>45</v>
      </c>
      <c r="I357" s="6">
        <v>38</v>
      </c>
      <c r="J357" s="6">
        <v>36</v>
      </c>
      <c r="K357" s="7">
        <v>0.97145555770198821</v>
      </c>
      <c r="L357" s="7">
        <v>1</v>
      </c>
      <c r="M357" s="7">
        <v>0.90735149927092562</v>
      </c>
      <c r="N357" s="8">
        <v>13990</v>
      </c>
      <c r="O357" s="7">
        <f t="shared" si="11"/>
        <v>0.95328155770073486</v>
      </c>
    </row>
    <row r="358" spans="1:15">
      <c r="A358" s="3" t="s">
        <v>392</v>
      </c>
      <c r="B358" s="4">
        <v>45635</v>
      </c>
      <c r="C358" s="5">
        <f t="shared" si="10"/>
        <v>45627</v>
      </c>
      <c r="D358" s="3" t="s">
        <v>34</v>
      </c>
      <c r="E358" s="2" t="s">
        <v>35</v>
      </c>
      <c r="F358" s="2" t="s">
        <v>36</v>
      </c>
      <c r="G358" s="2" t="s">
        <v>37</v>
      </c>
      <c r="H358" s="3" t="s">
        <v>20</v>
      </c>
      <c r="I358" s="6">
        <v>48</v>
      </c>
      <c r="J358" s="6">
        <v>49</v>
      </c>
      <c r="K358" s="7">
        <v>0.94422663057855338</v>
      </c>
      <c r="L358" s="7">
        <v>0.95943921200589077</v>
      </c>
      <c r="M358" s="7">
        <v>0.91688815706489979</v>
      </c>
      <c r="N358" s="8">
        <v>24420</v>
      </c>
      <c r="O358" s="7">
        <f t="shared" si="11"/>
        <v>0.97168350419183525</v>
      </c>
    </row>
    <row r="359" spans="1:15">
      <c r="A359" s="3" t="s">
        <v>393</v>
      </c>
      <c r="B359" s="4">
        <v>45638</v>
      </c>
      <c r="C359" s="5">
        <f t="shared" si="10"/>
        <v>45627</v>
      </c>
      <c r="D359" s="3" t="s">
        <v>43</v>
      </c>
      <c r="E359" s="2" t="s">
        <v>44</v>
      </c>
      <c r="F359" s="2" t="s">
        <v>28</v>
      </c>
      <c r="G359" s="2" t="s">
        <v>29</v>
      </c>
      <c r="H359" s="3" t="s">
        <v>45</v>
      </c>
      <c r="I359" s="6">
        <v>47</v>
      </c>
      <c r="J359" s="6">
        <v>55</v>
      </c>
      <c r="K359" s="7">
        <v>0.94689288692186691</v>
      </c>
      <c r="L359" s="7">
        <v>0.9746072070816505</v>
      </c>
      <c r="M359" s="7">
        <v>0.89247685914114261</v>
      </c>
      <c r="N359" s="8">
        <v>24150</v>
      </c>
      <c r="O359" s="7">
        <f t="shared" si="11"/>
        <v>1.0294947810039214</v>
      </c>
    </row>
    <row r="360" spans="1:15">
      <c r="A360" s="3" t="s">
        <v>394</v>
      </c>
      <c r="B360" s="4">
        <v>45639</v>
      </c>
      <c r="C360" s="5">
        <f t="shared" si="10"/>
        <v>45627</v>
      </c>
      <c r="D360" s="3" t="s">
        <v>16</v>
      </c>
      <c r="E360" s="2" t="s">
        <v>17</v>
      </c>
      <c r="F360" s="2" t="s">
        <v>18</v>
      </c>
      <c r="G360" s="2" t="s">
        <v>19</v>
      </c>
      <c r="H360" s="3" t="s">
        <v>20</v>
      </c>
      <c r="I360" s="6">
        <v>39</v>
      </c>
      <c r="J360" s="6">
        <v>47</v>
      </c>
      <c r="K360" s="7">
        <v>0.94371955070741598</v>
      </c>
      <c r="L360" s="7">
        <v>0.95334180403209889</v>
      </c>
      <c r="M360" s="7">
        <v>0.91893988683642658</v>
      </c>
      <c r="N360" s="8">
        <v>24490</v>
      </c>
      <c r="O360" s="7">
        <f t="shared" si="11"/>
        <v>1.042719135648954</v>
      </c>
    </row>
    <row r="361" spans="1:15">
      <c r="A361" s="3" t="s">
        <v>395</v>
      </c>
      <c r="B361" s="4">
        <v>45639</v>
      </c>
      <c r="C361" s="5">
        <f t="shared" si="10"/>
        <v>45627</v>
      </c>
      <c r="D361" s="3" t="s">
        <v>43</v>
      </c>
      <c r="E361" s="2" t="s">
        <v>44</v>
      </c>
      <c r="F361" s="2" t="s">
        <v>28</v>
      </c>
      <c r="G361" s="2" t="s">
        <v>29</v>
      </c>
      <c r="H361" s="3" t="s">
        <v>45</v>
      </c>
      <c r="I361" s="6">
        <v>29</v>
      </c>
      <c r="J361" s="6">
        <v>28</v>
      </c>
      <c r="K361" s="7">
        <v>0.98581454380612676</v>
      </c>
      <c r="L361" s="7">
        <v>0.96970978529425012</v>
      </c>
      <c r="M361" s="7">
        <v>0.9304179882693131</v>
      </c>
      <c r="N361" s="8">
        <v>12350</v>
      </c>
      <c r="O361" s="7">
        <f t="shared" si="11"/>
        <v>0.96420059795125601</v>
      </c>
    </row>
    <row r="362" spans="1:15">
      <c r="A362" s="3" t="s">
        <v>396</v>
      </c>
      <c r="B362" s="4">
        <v>45642</v>
      </c>
      <c r="C362" s="5">
        <f t="shared" si="10"/>
        <v>45627</v>
      </c>
      <c r="D362" s="3" t="s">
        <v>26</v>
      </c>
      <c r="E362" s="2" t="s">
        <v>27</v>
      </c>
      <c r="F362" s="2" t="s">
        <v>28</v>
      </c>
      <c r="G362" s="2" t="s">
        <v>29</v>
      </c>
      <c r="H362" s="3" t="s">
        <v>20</v>
      </c>
      <c r="I362" s="6">
        <v>33</v>
      </c>
      <c r="J362" s="6">
        <v>32</v>
      </c>
      <c r="K362" s="7">
        <v>0.89221182868467397</v>
      </c>
      <c r="L362" s="7">
        <v>0.98825292848448021</v>
      </c>
      <c r="M362" s="7">
        <v>0.91923736033254888</v>
      </c>
      <c r="N362" s="8">
        <v>14380</v>
      </c>
      <c r="O362" s="7">
        <f t="shared" si="11"/>
        <v>0.94301715638913819</v>
      </c>
    </row>
    <row r="363" spans="1:15">
      <c r="A363" s="3" t="s">
        <v>397</v>
      </c>
      <c r="B363" s="4">
        <v>45643</v>
      </c>
      <c r="C363" s="5">
        <f t="shared" si="10"/>
        <v>45627</v>
      </c>
      <c r="D363" s="3" t="s">
        <v>22</v>
      </c>
      <c r="E363" s="2" t="s">
        <v>23</v>
      </c>
      <c r="F363" s="2" t="s">
        <v>18</v>
      </c>
      <c r="G363" s="2" t="s">
        <v>19</v>
      </c>
      <c r="H363" s="3" t="s">
        <v>24</v>
      </c>
      <c r="I363" s="6">
        <v>37</v>
      </c>
      <c r="J363" s="6">
        <v>35</v>
      </c>
      <c r="K363" s="7">
        <v>0.92570915898854778</v>
      </c>
      <c r="L363" s="7">
        <v>0.93616144200404305</v>
      </c>
      <c r="M363" s="7">
        <v>0.97183664050341334</v>
      </c>
      <c r="N363" s="8">
        <v>20680</v>
      </c>
      <c r="O363" s="7">
        <f t="shared" si="11"/>
        <v>0.9445972125268044</v>
      </c>
    </row>
    <row r="364" spans="1:15">
      <c r="A364" s="3" t="s">
        <v>398</v>
      </c>
      <c r="B364" s="4">
        <v>45644</v>
      </c>
      <c r="C364" s="5">
        <f t="shared" si="10"/>
        <v>45627</v>
      </c>
      <c r="D364" s="3" t="s">
        <v>43</v>
      </c>
      <c r="E364" s="2" t="s">
        <v>44</v>
      </c>
      <c r="F364" s="2" t="s">
        <v>28</v>
      </c>
      <c r="G364" s="2" t="s">
        <v>29</v>
      </c>
      <c r="H364" s="3" t="s">
        <v>45</v>
      </c>
      <c r="I364" s="6">
        <v>28</v>
      </c>
      <c r="J364" s="6">
        <v>27</v>
      </c>
      <c r="K364" s="7">
        <v>0.96404902837873507</v>
      </c>
      <c r="L364" s="7">
        <v>0.96948803722648502</v>
      </c>
      <c r="M364" s="7">
        <v>0.8867164987402838</v>
      </c>
      <c r="N364" s="8">
        <v>11650</v>
      </c>
      <c r="O364" s="7">
        <f t="shared" si="11"/>
        <v>0.949493048140999</v>
      </c>
    </row>
    <row r="365" spans="1:15">
      <c r="A365" s="3" t="s">
        <v>399</v>
      </c>
      <c r="B365" s="4">
        <v>45645</v>
      </c>
      <c r="C365" s="5">
        <f t="shared" si="10"/>
        <v>45627</v>
      </c>
      <c r="D365" s="3" t="s">
        <v>26</v>
      </c>
      <c r="E365" s="2" t="s">
        <v>27</v>
      </c>
      <c r="F365" s="2" t="s">
        <v>28</v>
      </c>
      <c r="G365" s="2" t="s">
        <v>29</v>
      </c>
      <c r="H365" s="3" t="s">
        <v>20</v>
      </c>
      <c r="I365" s="6">
        <v>42</v>
      </c>
      <c r="J365" s="6">
        <v>35</v>
      </c>
      <c r="K365" s="7">
        <v>0.90445682325593779</v>
      </c>
      <c r="L365" s="7">
        <v>0.97030796446541234</v>
      </c>
      <c r="M365" s="7">
        <v>0.91959750839149279</v>
      </c>
      <c r="N365" s="8">
        <v>14640</v>
      </c>
      <c r="O365" s="7">
        <f t="shared" si="11"/>
        <v>0.88891323549542833</v>
      </c>
    </row>
    <row r="366" spans="1:15">
      <c r="A366" s="3" t="s">
        <v>400</v>
      </c>
      <c r="B366" s="4">
        <v>45646</v>
      </c>
      <c r="C366" s="5">
        <f t="shared" si="10"/>
        <v>45627</v>
      </c>
      <c r="D366" s="3" t="s">
        <v>22</v>
      </c>
      <c r="E366" s="2" t="s">
        <v>23</v>
      </c>
      <c r="F366" s="2" t="s">
        <v>18</v>
      </c>
      <c r="G366" s="2" t="s">
        <v>19</v>
      </c>
      <c r="H366" s="3" t="s">
        <v>24</v>
      </c>
      <c r="I366" s="6">
        <v>41</v>
      </c>
      <c r="J366" s="6">
        <v>38</v>
      </c>
      <c r="K366" s="7">
        <v>0.95406719659634165</v>
      </c>
      <c r="L366" s="7">
        <v>0.97008693009549385</v>
      </c>
      <c r="M366" s="7">
        <v>0.93117076087566952</v>
      </c>
      <c r="N366" s="8">
        <v>22220</v>
      </c>
      <c r="O366" s="7">
        <f t="shared" si="11"/>
        <v>0.94099569815561657</v>
      </c>
    </row>
    <row r="367" spans="1:15">
      <c r="A367" s="3" t="s">
        <v>401</v>
      </c>
      <c r="B367" s="4">
        <v>45646</v>
      </c>
      <c r="C367" s="5">
        <f t="shared" si="10"/>
        <v>45627</v>
      </c>
      <c r="D367" s="3" t="s">
        <v>26</v>
      </c>
      <c r="E367" s="2" t="s">
        <v>27</v>
      </c>
      <c r="F367" s="2" t="s">
        <v>28</v>
      </c>
      <c r="G367" s="2" t="s">
        <v>29</v>
      </c>
      <c r="H367" s="3" t="s">
        <v>20</v>
      </c>
      <c r="I367" s="6">
        <v>55</v>
      </c>
      <c r="J367" s="6">
        <v>53</v>
      </c>
      <c r="K367" s="7">
        <v>0.87726447768511151</v>
      </c>
      <c r="L367" s="7">
        <v>0.98109692792293168</v>
      </c>
      <c r="M367" s="7">
        <v>0.88822825689493956</v>
      </c>
      <c r="N367" s="8">
        <v>19610</v>
      </c>
      <c r="O367" s="7">
        <f t="shared" si="11"/>
        <v>0.92958085544325098</v>
      </c>
    </row>
    <row r="368" spans="1:15">
      <c r="A368" s="3" t="s">
        <v>402</v>
      </c>
      <c r="B368" s="4">
        <v>45650</v>
      </c>
      <c r="C368" s="5">
        <f t="shared" si="10"/>
        <v>45627</v>
      </c>
      <c r="D368" s="3" t="s">
        <v>39</v>
      </c>
      <c r="E368" s="2" t="s">
        <v>40</v>
      </c>
      <c r="F368" s="2" t="s">
        <v>36</v>
      </c>
      <c r="G368" s="2" t="s">
        <v>37</v>
      </c>
      <c r="H368" s="3" t="s">
        <v>24</v>
      </c>
      <c r="I368" s="6">
        <v>46</v>
      </c>
      <c r="J368" s="6">
        <v>52</v>
      </c>
      <c r="K368" s="7">
        <v>0.91042901452576486</v>
      </c>
      <c r="L368" s="7">
        <v>0.99228323480011993</v>
      </c>
      <c r="M368" s="7">
        <v>0.93980171941658364</v>
      </c>
      <c r="N368" s="8">
        <v>24540</v>
      </c>
      <c r="O368" s="7">
        <f t="shared" si="11"/>
        <v>1.0165839957782543</v>
      </c>
    </row>
    <row r="369" spans="1:15">
      <c r="A369" s="3" t="s">
        <v>403</v>
      </c>
      <c r="B369" s="4">
        <v>45651</v>
      </c>
      <c r="C369" s="5">
        <f t="shared" si="10"/>
        <v>45627</v>
      </c>
      <c r="D369" s="3" t="s">
        <v>16</v>
      </c>
      <c r="E369" s="2" t="s">
        <v>17</v>
      </c>
      <c r="F369" s="2" t="s">
        <v>18</v>
      </c>
      <c r="G369" s="2" t="s">
        <v>19</v>
      </c>
      <c r="H369" s="3" t="s">
        <v>20</v>
      </c>
      <c r="I369" s="6">
        <v>37</v>
      </c>
      <c r="J369" s="6">
        <v>44</v>
      </c>
      <c r="K369" s="7">
        <v>0.93467830511602124</v>
      </c>
      <c r="L369" s="7">
        <v>0.99475118643326188</v>
      </c>
      <c r="M369" s="7">
        <v>0.95278298002662054</v>
      </c>
      <c r="N369" s="8">
        <v>24940</v>
      </c>
      <c r="O369" s="7">
        <f t="shared" si="11"/>
        <v>1.0491145259249943</v>
      </c>
    </row>
    <row r="370" spans="1:15">
      <c r="A370" s="3" t="s">
        <v>404</v>
      </c>
      <c r="B370" s="4">
        <v>45657</v>
      </c>
      <c r="C370" s="5">
        <f t="shared" si="10"/>
        <v>45627</v>
      </c>
      <c r="D370" s="3" t="s">
        <v>26</v>
      </c>
      <c r="E370" s="2" t="s">
        <v>27</v>
      </c>
      <c r="F370" s="2" t="s">
        <v>28</v>
      </c>
      <c r="G370" s="2" t="s">
        <v>29</v>
      </c>
      <c r="H370" s="3" t="s">
        <v>20</v>
      </c>
      <c r="I370" s="6">
        <v>30</v>
      </c>
      <c r="J370" s="6">
        <v>26</v>
      </c>
      <c r="K370" s="7">
        <v>0.93223255368036828</v>
      </c>
      <c r="L370" s="7">
        <v>0.95743549170097919</v>
      </c>
      <c r="M370" s="7">
        <v>0.92107100418562426</v>
      </c>
      <c r="N370" s="8">
        <v>11190</v>
      </c>
      <c r="O370" s="7">
        <f t="shared" si="11"/>
        <v>0.90755432967903049</v>
      </c>
    </row>
    <row r="371" spans="1:15">
      <c r="A371" s="3" t="s">
        <v>405</v>
      </c>
      <c r="B371" s="4">
        <v>45657</v>
      </c>
      <c r="C371" s="5">
        <f t="shared" si="10"/>
        <v>45627</v>
      </c>
      <c r="D371" s="3" t="s">
        <v>39</v>
      </c>
      <c r="E371" s="2" t="s">
        <v>40</v>
      </c>
      <c r="F371" s="2" t="s">
        <v>36</v>
      </c>
      <c r="G371" s="2" t="s">
        <v>37</v>
      </c>
      <c r="H371" s="3" t="s">
        <v>24</v>
      </c>
      <c r="I371" s="6">
        <v>35</v>
      </c>
      <c r="J371" s="6">
        <v>35</v>
      </c>
      <c r="K371" s="7">
        <v>0.9223014292300391</v>
      </c>
      <c r="L371" s="7">
        <v>0.95885066886232184</v>
      </c>
      <c r="M371" s="7">
        <v>0.995</v>
      </c>
      <c r="N371" s="8">
        <v>15950</v>
      </c>
      <c r="O371" s="7">
        <f t="shared" si="11"/>
        <v>0.97340295763685813</v>
      </c>
    </row>
    <row r="372" spans="1:15">
      <c r="A372" s="3" t="s">
        <v>406</v>
      </c>
      <c r="B372" s="4">
        <v>45658</v>
      </c>
      <c r="C372" s="5">
        <f t="shared" si="10"/>
        <v>45658</v>
      </c>
      <c r="D372" s="3" t="s">
        <v>26</v>
      </c>
      <c r="E372" s="2" t="s">
        <v>27</v>
      </c>
      <c r="F372" s="2" t="s">
        <v>28</v>
      </c>
      <c r="G372" s="2" t="s">
        <v>29</v>
      </c>
      <c r="H372" s="3" t="s">
        <v>20</v>
      </c>
      <c r="I372" s="6">
        <v>53</v>
      </c>
      <c r="J372" s="6">
        <v>51</v>
      </c>
      <c r="K372" s="7">
        <v>0.86951609107611116</v>
      </c>
      <c r="L372" s="7">
        <v>0.96406680960111724</v>
      </c>
      <c r="M372" s="7">
        <v>0.89209908550088224</v>
      </c>
      <c r="N372" s="8">
        <v>18260</v>
      </c>
      <c r="O372" s="7">
        <f t="shared" si="11"/>
        <v>0.92531452168673023</v>
      </c>
    </row>
    <row r="373" spans="1:15">
      <c r="A373" s="3" t="s">
        <v>407</v>
      </c>
      <c r="B373" s="4">
        <v>45659</v>
      </c>
      <c r="C373" s="5">
        <f t="shared" si="10"/>
        <v>45658</v>
      </c>
      <c r="D373" s="3" t="s">
        <v>43</v>
      </c>
      <c r="E373" s="2" t="s">
        <v>44</v>
      </c>
      <c r="F373" s="2" t="s">
        <v>28</v>
      </c>
      <c r="G373" s="2" t="s">
        <v>29</v>
      </c>
      <c r="H373" s="3" t="s">
        <v>45</v>
      </c>
      <c r="I373" s="6">
        <v>29</v>
      </c>
      <c r="J373" s="6">
        <v>29</v>
      </c>
      <c r="K373" s="7">
        <v>0.9615728495429946</v>
      </c>
      <c r="L373" s="7">
        <v>1</v>
      </c>
      <c r="M373" s="7">
        <v>0.95639355939919168</v>
      </c>
      <c r="N373" s="8">
        <v>12110</v>
      </c>
      <c r="O373" s="7">
        <f t="shared" si="11"/>
        <v>0.98167192426558703</v>
      </c>
    </row>
    <row r="374" spans="1:15">
      <c r="A374" s="3" t="s">
        <v>408</v>
      </c>
      <c r="B374" s="4">
        <v>45659</v>
      </c>
      <c r="C374" s="5">
        <f t="shared" si="10"/>
        <v>45658</v>
      </c>
      <c r="D374" s="3" t="s">
        <v>34</v>
      </c>
      <c r="E374" s="2" t="s">
        <v>35</v>
      </c>
      <c r="F374" s="2" t="s">
        <v>36</v>
      </c>
      <c r="G374" s="2" t="s">
        <v>37</v>
      </c>
      <c r="H374" s="3" t="s">
        <v>20</v>
      </c>
      <c r="I374" s="6">
        <v>31</v>
      </c>
      <c r="J374" s="6">
        <v>33</v>
      </c>
      <c r="K374" s="7">
        <v>0.89353936149626112</v>
      </c>
      <c r="L374" s="7">
        <v>0.96259442813780216</v>
      </c>
      <c r="M374" s="7">
        <v>0.98184597954141584</v>
      </c>
      <c r="N374" s="8">
        <v>14750</v>
      </c>
      <c r="O374" s="7">
        <f t="shared" si="11"/>
        <v>0.9899496521159219</v>
      </c>
    </row>
    <row r="375" spans="1:15">
      <c r="A375" s="3" t="s">
        <v>409</v>
      </c>
      <c r="B375" s="4">
        <v>45660</v>
      </c>
      <c r="C375" s="5">
        <f t="shared" si="10"/>
        <v>45658</v>
      </c>
      <c r="D375" s="3" t="s">
        <v>26</v>
      </c>
      <c r="E375" s="2" t="s">
        <v>27</v>
      </c>
      <c r="F375" s="2" t="s">
        <v>28</v>
      </c>
      <c r="G375" s="2" t="s">
        <v>29</v>
      </c>
      <c r="H375" s="3" t="s">
        <v>20</v>
      </c>
      <c r="I375" s="6">
        <v>35</v>
      </c>
      <c r="J375" s="6">
        <v>34</v>
      </c>
      <c r="K375" s="7">
        <v>0.90166184661939175</v>
      </c>
      <c r="L375" s="7">
        <v>0.91980121301695117</v>
      </c>
      <c r="M375" s="7">
        <v>0.89184652448839974</v>
      </c>
      <c r="N375" s="8">
        <v>14870</v>
      </c>
      <c r="O375" s="7">
        <f t="shared" si="11"/>
        <v>0.93032637707649912</v>
      </c>
    </row>
    <row r="376" spans="1:15">
      <c r="A376" s="3" t="s">
        <v>410</v>
      </c>
      <c r="B376" s="4">
        <v>45660</v>
      </c>
      <c r="C376" s="5">
        <f t="shared" si="10"/>
        <v>45658</v>
      </c>
      <c r="D376" s="3" t="s">
        <v>26</v>
      </c>
      <c r="E376" s="2" t="s">
        <v>27</v>
      </c>
      <c r="F376" s="2" t="s">
        <v>28</v>
      </c>
      <c r="G376" s="2" t="s">
        <v>29</v>
      </c>
      <c r="H376" s="3" t="s">
        <v>20</v>
      </c>
      <c r="I376" s="6">
        <v>37</v>
      </c>
      <c r="J376" s="6">
        <v>36</v>
      </c>
      <c r="K376" s="7">
        <v>0.94286020139673243</v>
      </c>
      <c r="L376" s="7">
        <v>0.89037327654875265</v>
      </c>
      <c r="M376" s="7">
        <v>0.8726476504978451</v>
      </c>
      <c r="N376" s="8">
        <v>15680</v>
      </c>
      <c r="O376" s="7">
        <f t="shared" si="11"/>
        <v>0.93298976112025434</v>
      </c>
    </row>
    <row r="377" spans="1:15">
      <c r="A377" s="3" t="s">
        <v>411</v>
      </c>
      <c r="B377" s="4">
        <v>45660</v>
      </c>
      <c r="C377" s="5">
        <f t="shared" si="10"/>
        <v>45658</v>
      </c>
      <c r="D377" s="3" t="s">
        <v>34</v>
      </c>
      <c r="E377" s="2" t="s">
        <v>35</v>
      </c>
      <c r="F377" s="2" t="s">
        <v>36</v>
      </c>
      <c r="G377" s="2" t="s">
        <v>37</v>
      </c>
      <c r="H377" s="3" t="s">
        <v>20</v>
      </c>
      <c r="I377" s="6">
        <v>31</v>
      </c>
      <c r="J377" s="6">
        <v>35</v>
      </c>
      <c r="K377" s="7">
        <v>0.96443241655272827</v>
      </c>
      <c r="L377" s="7">
        <v>0.93134858952936095</v>
      </c>
      <c r="M377" s="7">
        <v>0.95555333207459769</v>
      </c>
      <c r="N377" s="8">
        <v>14520</v>
      </c>
      <c r="O377" s="7">
        <f t="shared" si="11"/>
        <v>1.0235339622083122</v>
      </c>
    </row>
    <row r="378" spans="1:15">
      <c r="A378" s="3" t="s">
        <v>412</v>
      </c>
      <c r="B378" s="4">
        <v>45660</v>
      </c>
      <c r="C378" s="5">
        <f t="shared" si="10"/>
        <v>45658</v>
      </c>
      <c r="D378" s="3" t="s">
        <v>34</v>
      </c>
      <c r="E378" s="2" t="s">
        <v>35</v>
      </c>
      <c r="F378" s="2" t="s">
        <v>36</v>
      </c>
      <c r="G378" s="2" t="s">
        <v>37</v>
      </c>
      <c r="H378" s="3" t="s">
        <v>20</v>
      </c>
      <c r="I378" s="6">
        <v>29</v>
      </c>
      <c r="J378" s="6">
        <v>25</v>
      </c>
      <c r="K378" s="7">
        <v>0.93197030719769147</v>
      </c>
      <c r="L378" s="7">
        <v>0.95069030253755715</v>
      </c>
      <c r="M378" s="7">
        <v>0.95531050782015103</v>
      </c>
      <c r="N378" s="8">
        <v>10330</v>
      </c>
      <c r="O378" s="7">
        <f t="shared" si="11"/>
        <v>0.91148580995098327</v>
      </c>
    </row>
    <row r="379" spans="1:15">
      <c r="A379" s="3" t="s">
        <v>413</v>
      </c>
      <c r="B379" s="4">
        <v>45660</v>
      </c>
      <c r="C379" s="5">
        <f t="shared" si="10"/>
        <v>45658</v>
      </c>
      <c r="D379" s="3" t="s">
        <v>34</v>
      </c>
      <c r="E379" s="2" t="s">
        <v>35</v>
      </c>
      <c r="F379" s="2" t="s">
        <v>36</v>
      </c>
      <c r="G379" s="2" t="s">
        <v>37</v>
      </c>
      <c r="H379" s="3" t="s">
        <v>20</v>
      </c>
      <c r="I379" s="6">
        <v>53</v>
      </c>
      <c r="J379" s="6">
        <v>50</v>
      </c>
      <c r="K379" s="7">
        <v>0.90828894359062351</v>
      </c>
      <c r="L379" s="7">
        <v>0.98622605571498767</v>
      </c>
      <c r="M379" s="7">
        <v>0.97507988269593937</v>
      </c>
      <c r="N379" s="8">
        <v>25440</v>
      </c>
      <c r="O379" s="7">
        <f t="shared" si="11"/>
        <v>0.94738061136012974</v>
      </c>
    </row>
    <row r="380" spans="1:15">
      <c r="A380" s="3" t="s">
        <v>414</v>
      </c>
      <c r="B380" s="4">
        <v>45660</v>
      </c>
      <c r="C380" s="5">
        <f t="shared" si="10"/>
        <v>45658</v>
      </c>
      <c r="D380" s="3" t="s">
        <v>39</v>
      </c>
      <c r="E380" s="2" t="s">
        <v>40</v>
      </c>
      <c r="F380" s="2" t="s">
        <v>36</v>
      </c>
      <c r="G380" s="2" t="s">
        <v>37</v>
      </c>
      <c r="H380" s="3" t="s">
        <v>24</v>
      </c>
      <c r="I380" s="6">
        <v>30</v>
      </c>
      <c r="J380" s="6">
        <v>32</v>
      </c>
      <c r="K380" s="7">
        <v>0.96647099359003963</v>
      </c>
      <c r="L380" s="7">
        <v>0.96325970099215974</v>
      </c>
      <c r="M380" s="7">
        <v>0.98073976715622058</v>
      </c>
      <c r="N380" s="8">
        <v>13770</v>
      </c>
      <c r="O380" s="7">
        <f t="shared" si="11"/>
        <v>1.0089213236442447</v>
      </c>
    </row>
    <row r="381" spans="1:15">
      <c r="A381" s="3" t="s">
        <v>415</v>
      </c>
      <c r="B381" s="4">
        <v>45660</v>
      </c>
      <c r="C381" s="5">
        <f t="shared" si="10"/>
        <v>45658</v>
      </c>
      <c r="D381" s="3" t="s">
        <v>39</v>
      </c>
      <c r="E381" s="2" t="s">
        <v>40</v>
      </c>
      <c r="F381" s="2" t="s">
        <v>36</v>
      </c>
      <c r="G381" s="2" t="s">
        <v>37</v>
      </c>
      <c r="H381" s="3" t="s">
        <v>24</v>
      </c>
      <c r="I381" s="6">
        <v>30</v>
      </c>
      <c r="J381" s="6">
        <v>35</v>
      </c>
      <c r="K381" s="7">
        <v>0.95284787258351955</v>
      </c>
      <c r="L381" s="7">
        <v>0.98485952141593103</v>
      </c>
      <c r="M381" s="7">
        <v>0.93869706727488877</v>
      </c>
      <c r="N381" s="8">
        <v>14780</v>
      </c>
      <c r="O381" s="7">
        <f t="shared" si="11"/>
        <v>1.040346976479914</v>
      </c>
    </row>
    <row r="382" spans="1:15">
      <c r="A382" s="3" t="s">
        <v>416</v>
      </c>
      <c r="B382" s="4">
        <v>45660</v>
      </c>
      <c r="C382" s="5">
        <f t="shared" si="10"/>
        <v>45658</v>
      </c>
      <c r="D382" s="3" t="s">
        <v>39</v>
      </c>
      <c r="E382" s="2" t="s">
        <v>40</v>
      </c>
      <c r="F382" s="2" t="s">
        <v>36</v>
      </c>
      <c r="G382" s="2" t="s">
        <v>37</v>
      </c>
      <c r="H382" s="3" t="s">
        <v>24</v>
      </c>
      <c r="I382" s="6">
        <v>38</v>
      </c>
      <c r="J382" s="6">
        <v>45</v>
      </c>
      <c r="K382" s="7">
        <v>0.995</v>
      </c>
      <c r="L382" s="7">
        <v>0.96439348030754546</v>
      </c>
      <c r="M382" s="7">
        <v>0.95927379290199843</v>
      </c>
      <c r="N382" s="8">
        <v>22950</v>
      </c>
      <c r="O382" s="7">
        <f t="shared" si="11"/>
        <v>1.0589479911528472</v>
      </c>
    </row>
    <row r="383" spans="1:15">
      <c r="A383" s="3" t="s">
        <v>417</v>
      </c>
      <c r="B383" s="4">
        <v>45660</v>
      </c>
      <c r="C383" s="5">
        <f t="shared" si="10"/>
        <v>45658</v>
      </c>
      <c r="D383" s="3" t="s">
        <v>39</v>
      </c>
      <c r="E383" s="2" t="s">
        <v>40</v>
      </c>
      <c r="F383" s="2" t="s">
        <v>36</v>
      </c>
      <c r="G383" s="2" t="s">
        <v>37</v>
      </c>
      <c r="H383" s="3" t="s">
        <v>24</v>
      </c>
      <c r="I383" s="6">
        <v>40</v>
      </c>
      <c r="J383" s="6">
        <v>47</v>
      </c>
      <c r="K383" s="7">
        <v>0.995</v>
      </c>
      <c r="L383" s="7">
        <v>0.96812708712875051</v>
      </c>
      <c r="M383" s="7">
        <v>0.98905363282158809</v>
      </c>
      <c r="N383" s="8">
        <v>21550</v>
      </c>
      <c r="O383" s="7">
        <f t="shared" si="11"/>
        <v>1.0617797896336301</v>
      </c>
    </row>
    <row r="384" spans="1:15">
      <c r="A384" s="3" t="s">
        <v>418</v>
      </c>
      <c r="B384" s="4">
        <v>45663</v>
      </c>
      <c r="C384" s="5">
        <f t="shared" si="10"/>
        <v>45658</v>
      </c>
      <c r="D384" s="3" t="s">
        <v>43</v>
      </c>
      <c r="E384" s="2" t="s">
        <v>44</v>
      </c>
      <c r="F384" s="2" t="s">
        <v>28</v>
      </c>
      <c r="G384" s="2" t="s">
        <v>29</v>
      </c>
      <c r="H384" s="3" t="s">
        <v>45</v>
      </c>
      <c r="I384" s="6">
        <v>54</v>
      </c>
      <c r="J384" s="6">
        <v>57</v>
      </c>
      <c r="K384" s="7">
        <v>0.93457378830975102</v>
      </c>
      <c r="L384" s="7">
        <v>0.98133568909448909</v>
      </c>
      <c r="M384" s="7">
        <v>0.95489355013049537</v>
      </c>
      <c r="N384" s="8">
        <v>21320</v>
      </c>
      <c r="O384" s="7">
        <f t="shared" si="11"/>
        <v>0.99404473268993254</v>
      </c>
    </row>
    <row r="385" spans="1:15">
      <c r="A385" s="3" t="s">
        <v>419</v>
      </c>
      <c r="B385" s="4">
        <v>45664</v>
      </c>
      <c r="C385" s="5">
        <f t="shared" si="10"/>
        <v>45658</v>
      </c>
      <c r="D385" s="3" t="s">
        <v>34</v>
      </c>
      <c r="E385" s="2" t="s">
        <v>35</v>
      </c>
      <c r="F385" s="2" t="s">
        <v>36</v>
      </c>
      <c r="G385" s="2" t="s">
        <v>37</v>
      </c>
      <c r="H385" s="3" t="s">
        <v>20</v>
      </c>
      <c r="I385" s="6">
        <v>50</v>
      </c>
      <c r="J385" s="6">
        <v>47</v>
      </c>
      <c r="K385" s="7">
        <v>0.93523799044632738</v>
      </c>
      <c r="L385" s="7">
        <v>0.95935343668184225</v>
      </c>
      <c r="M385" s="7">
        <v>0.9384946514220015</v>
      </c>
      <c r="N385" s="8">
        <v>20890</v>
      </c>
      <c r="O385" s="7">
        <f t="shared" si="11"/>
        <v>0.94141144339825855</v>
      </c>
    </row>
    <row r="386" spans="1:15">
      <c r="A386" s="3" t="s">
        <v>420</v>
      </c>
      <c r="B386" s="4">
        <v>45664</v>
      </c>
      <c r="C386" s="5">
        <f t="shared" ref="C386:C449" si="12">DATE(YEAR(B386),MONTH(B386),1)</f>
        <v>45658</v>
      </c>
      <c r="D386" s="3" t="s">
        <v>39</v>
      </c>
      <c r="E386" s="2" t="s">
        <v>40</v>
      </c>
      <c r="F386" s="2" t="s">
        <v>36</v>
      </c>
      <c r="G386" s="2" t="s">
        <v>37</v>
      </c>
      <c r="H386" s="3" t="s">
        <v>24</v>
      </c>
      <c r="I386" s="6">
        <v>39</v>
      </c>
      <c r="J386" s="6">
        <v>45</v>
      </c>
      <c r="K386" s="7">
        <v>0.94970780857385528</v>
      </c>
      <c r="L386" s="7">
        <v>0.98415418177587421</v>
      </c>
      <c r="M386" s="7">
        <v>0.92978243175846065</v>
      </c>
      <c r="N386" s="8">
        <v>19180</v>
      </c>
      <c r="O386" s="7">
        <f t="shared" ref="O386:O449" si="13">MIN(J386/I386,1.2)*40%+K386*25%+L386*15%+M386*20%</f>
        <v>1.0325450272999985</v>
      </c>
    </row>
    <row r="387" spans="1:15">
      <c r="A387" s="3" t="s">
        <v>421</v>
      </c>
      <c r="B387" s="4">
        <v>45666</v>
      </c>
      <c r="C387" s="5">
        <f t="shared" si="12"/>
        <v>45658</v>
      </c>
      <c r="D387" s="3" t="s">
        <v>34</v>
      </c>
      <c r="E387" s="2" t="s">
        <v>35</v>
      </c>
      <c r="F387" s="2" t="s">
        <v>36</v>
      </c>
      <c r="G387" s="2" t="s">
        <v>37</v>
      </c>
      <c r="H387" s="3" t="s">
        <v>20</v>
      </c>
      <c r="I387" s="6">
        <v>45</v>
      </c>
      <c r="J387" s="6">
        <v>46</v>
      </c>
      <c r="K387" s="7">
        <v>0.91376747495811761</v>
      </c>
      <c r="L387" s="7">
        <v>0.97649560344743902</v>
      </c>
      <c r="M387" s="7">
        <v>0.90164306301602748</v>
      </c>
      <c r="N387" s="8">
        <v>20030</v>
      </c>
      <c r="O387" s="7">
        <f t="shared" si="13"/>
        <v>0.96413371074873966</v>
      </c>
    </row>
    <row r="388" spans="1:15">
      <c r="A388" s="3" t="s">
        <v>422</v>
      </c>
      <c r="B388" s="4">
        <v>45667</v>
      </c>
      <c r="C388" s="5">
        <f t="shared" si="12"/>
        <v>45658</v>
      </c>
      <c r="D388" s="3" t="s">
        <v>16</v>
      </c>
      <c r="E388" s="2" t="s">
        <v>17</v>
      </c>
      <c r="F388" s="2" t="s">
        <v>18</v>
      </c>
      <c r="G388" s="2" t="s">
        <v>19</v>
      </c>
      <c r="H388" s="3" t="s">
        <v>20</v>
      </c>
      <c r="I388" s="6">
        <v>45</v>
      </c>
      <c r="J388" s="6">
        <v>48</v>
      </c>
      <c r="K388" s="7">
        <v>0.93538374248319389</v>
      </c>
      <c r="L388" s="7">
        <v>0.96561685137264208</v>
      </c>
      <c r="M388" s="7">
        <v>0.89669490328302826</v>
      </c>
      <c r="N388" s="8">
        <v>31220</v>
      </c>
      <c r="O388" s="7">
        <f t="shared" si="13"/>
        <v>0.98469411064996726</v>
      </c>
    </row>
    <row r="389" spans="1:15">
      <c r="A389" s="3" t="s">
        <v>423</v>
      </c>
      <c r="B389" s="4">
        <v>45667</v>
      </c>
      <c r="C389" s="5">
        <f t="shared" si="12"/>
        <v>45658</v>
      </c>
      <c r="D389" s="3" t="s">
        <v>16</v>
      </c>
      <c r="E389" s="2" t="s">
        <v>17</v>
      </c>
      <c r="F389" s="2" t="s">
        <v>18</v>
      </c>
      <c r="G389" s="2" t="s">
        <v>19</v>
      </c>
      <c r="H389" s="3" t="s">
        <v>20</v>
      </c>
      <c r="I389" s="6">
        <v>50</v>
      </c>
      <c r="J389" s="6">
        <v>53</v>
      </c>
      <c r="K389" s="7">
        <v>0.93633171130473369</v>
      </c>
      <c r="L389" s="7">
        <v>0.97987810018679677</v>
      </c>
      <c r="M389" s="7">
        <v>0.91546761089939688</v>
      </c>
      <c r="N389" s="8">
        <v>30780</v>
      </c>
      <c r="O389" s="7">
        <f t="shared" si="13"/>
        <v>0.98815816503408238</v>
      </c>
    </row>
    <row r="390" spans="1:15">
      <c r="A390" s="3" t="s">
        <v>424</v>
      </c>
      <c r="B390" s="4">
        <v>45667</v>
      </c>
      <c r="C390" s="5">
        <f t="shared" si="12"/>
        <v>45658</v>
      </c>
      <c r="D390" s="3" t="s">
        <v>16</v>
      </c>
      <c r="E390" s="2" t="s">
        <v>17</v>
      </c>
      <c r="F390" s="2" t="s">
        <v>18</v>
      </c>
      <c r="G390" s="2" t="s">
        <v>19</v>
      </c>
      <c r="H390" s="3" t="s">
        <v>20</v>
      </c>
      <c r="I390" s="6">
        <v>31</v>
      </c>
      <c r="J390" s="6">
        <v>28</v>
      </c>
      <c r="K390" s="7">
        <v>0.91106393783530926</v>
      </c>
      <c r="L390" s="7">
        <v>0.99552630509657292</v>
      </c>
      <c r="M390" s="7">
        <v>0.95106958217669402</v>
      </c>
      <c r="N390" s="8">
        <v>16180</v>
      </c>
      <c r="O390" s="7">
        <f t="shared" si="13"/>
        <v>0.92859916923929731</v>
      </c>
    </row>
    <row r="391" spans="1:15">
      <c r="A391" s="3" t="s">
        <v>425</v>
      </c>
      <c r="B391" s="4">
        <v>45667</v>
      </c>
      <c r="C391" s="5">
        <f t="shared" si="12"/>
        <v>45658</v>
      </c>
      <c r="D391" s="3" t="s">
        <v>39</v>
      </c>
      <c r="E391" s="2" t="s">
        <v>40</v>
      </c>
      <c r="F391" s="2" t="s">
        <v>36</v>
      </c>
      <c r="G391" s="2" t="s">
        <v>37</v>
      </c>
      <c r="H391" s="3" t="s">
        <v>24</v>
      </c>
      <c r="I391" s="6">
        <v>49</v>
      </c>
      <c r="J391" s="6">
        <v>60</v>
      </c>
      <c r="K391" s="7">
        <v>0.93840195825131201</v>
      </c>
      <c r="L391" s="7">
        <v>0.96577774027482266</v>
      </c>
      <c r="M391" s="7">
        <v>0.97523809112104853</v>
      </c>
      <c r="N391" s="8">
        <v>28070</v>
      </c>
      <c r="O391" s="7">
        <f t="shared" si="13"/>
        <v>1.054514768828261</v>
      </c>
    </row>
    <row r="392" spans="1:15">
      <c r="A392" s="3" t="s">
        <v>426</v>
      </c>
      <c r="B392" s="4">
        <v>45672</v>
      </c>
      <c r="C392" s="5">
        <f t="shared" si="12"/>
        <v>45658</v>
      </c>
      <c r="D392" s="3" t="s">
        <v>39</v>
      </c>
      <c r="E392" s="2" t="s">
        <v>40</v>
      </c>
      <c r="F392" s="2" t="s">
        <v>36</v>
      </c>
      <c r="G392" s="2" t="s">
        <v>37</v>
      </c>
      <c r="H392" s="3" t="s">
        <v>24</v>
      </c>
      <c r="I392" s="6">
        <v>52</v>
      </c>
      <c r="J392" s="6">
        <v>58</v>
      </c>
      <c r="K392" s="7">
        <v>0.96976028494259747</v>
      </c>
      <c r="L392" s="7">
        <v>1</v>
      </c>
      <c r="M392" s="7">
        <v>0.99036645654248323</v>
      </c>
      <c r="N392" s="8">
        <v>31340</v>
      </c>
      <c r="O392" s="7">
        <f t="shared" si="13"/>
        <v>1.0366672086979922</v>
      </c>
    </row>
    <row r="393" spans="1:15">
      <c r="A393" s="3" t="s">
        <v>427</v>
      </c>
      <c r="B393" s="4">
        <v>45674</v>
      </c>
      <c r="C393" s="5">
        <f t="shared" si="12"/>
        <v>45658</v>
      </c>
      <c r="D393" s="3" t="s">
        <v>16</v>
      </c>
      <c r="E393" s="2" t="s">
        <v>17</v>
      </c>
      <c r="F393" s="2" t="s">
        <v>18</v>
      </c>
      <c r="G393" s="2" t="s">
        <v>19</v>
      </c>
      <c r="H393" s="3" t="s">
        <v>20</v>
      </c>
      <c r="I393" s="6">
        <v>31</v>
      </c>
      <c r="J393" s="6">
        <v>35</v>
      </c>
      <c r="K393" s="7">
        <v>0.90317504636953905</v>
      </c>
      <c r="L393" s="7">
        <v>0.9432430892698771</v>
      </c>
      <c r="M393" s="7">
        <v>0.90856973124587059</v>
      </c>
      <c r="N393" s="8">
        <v>18600</v>
      </c>
      <c r="O393" s="7">
        <f t="shared" si="13"/>
        <v>1.000607074457847</v>
      </c>
    </row>
    <row r="394" spans="1:15">
      <c r="A394" s="3" t="s">
        <v>428</v>
      </c>
      <c r="B394" s="4">
        <v>45674</v>
      </c>
      <c r="C394" s="5">
        <f t="shared" si="12"/>
        <v>45658</v>
      </c>
      <c r="D394" s="3" t="s">
        <v>26</v>
      </c>
      <c r="E394" s="2" t="s">
        <v>27</v>
      </c>
      <c r="F394" s="2" t="s">
        <v>28</v>
      </c>
      <c r="G394" s="2" t="s">
        <v>29</v>
      </c>
      <c r="H394" s="3" t="s">
        <v>20</v>
      </c>
      <c r="I394" s="6">
        <v>48</v>
      </c>
      <c r="J394" s="6">
        <v>47</v>
      </c>
      <c r="K394" s="7">
        <v>0.94535709017633318</v>
      </c>
      <c r="L394" s="7">
        <v>0.94281794810779285</v>
      </c>
      <c r="M394" s="7">
        <v>0.89694697290098491</v>
      </c>
      <c r="N394" s="8">
        <v>18480</v>
      </c>
      <c r="O394" s="7">
        <f t="shared" si="13"/>
        <v>0.94881802600711596</v>
      </c>
    </row>
    <row r="395" spans="1:15">
      <c r="A395" s="3" t="s">
        <v>429</v>
      </c>
      <c r="B395" s="4">
        <v>45674</v>
      </c>
      <c r="C395" s="5">
        <f t="shared" si="12"/>
        <v>45658</v>
      </c>
      <c r="D395" s="3" t="s">
        <v>43</v>
      </c>
      <c r="E395" s="2" t="s">
        <v>44</v>
      </c>
      <c r="F395" s="2" t="s">
        <v>28</v>
      </c>
      <c r="G395" s="2" t="s">
        <v>29</v>
      </c>
      <c r="H395" s="3" t="s">
        <v>45</v>
      </c>
      <c r="I395" s="6">
        <v>42</v>
      </c>
      <c r="J395" s="6">
        <v>48</v>
      </c>
      <c r="K395" s="7">
        <v>0.97228503522113607</v>
      </c>
      <c r="L395" s="7">
        <v>0.98216370846320333</v>
      </c>
      <c r="M395" s="7">
        <v>0.89277512221014976</v>
      </c>
      <c r="N395" s="8">
        <v>21660</v>
      </c>
      <c r="O395" s="7">
        <f t="shared" si="13"/>
        <v>1.0260936966596517</v>
      </c>
    </row>
    <row r="396" spans="1:15">
      <c r="A396" s="3" t="s">
        <v>430</v>
      </c>
      <c r="B396" s="4">
        <v>45674</v>
      </c>
      <c r="C396" s="5">
        <f t="shared" si="12"/>
        <v>45658</v>
      </c>
      <c r="D396" s="3" t="s">
        <v>34</v>
      </c>
      <c r="E396" s="2" t="s">
        <v>35</v>
      </c>
      <c r="F396" s="2" t="s">
        <v>36</v>
      </c>
      <c r="G396" s="2" t="s">
        <v>37</v>
      </c>
      <c r="H396" s="3" t="s">
        <v>20</v>
      </c>
      <c r="I396" s="6">
        <v>35</v>
      </c>
      <c r="J396" s="6">
        <v>33</v>
      </c>
      <c r="K396" s="7">
        <v>0.93872790834120512</v>
      </c>
      <c r="L396" s="7">
        <v>0.96251192090228588</v>
      </c>
      <c r="M396" s="7">
        <v>0.96335127209815008</v>
      </c>
      <c r="N396" s="8">
        <v>13640</v>
      </c>
      <c r="O396" s="7">
        <f t="shared" si="13"/>
        <v>0.94887187678313134</v>
      </c>
    </row>
    <row r="397" spans="1:15">
      <c r="A397" s="3" t="s">
        <v>431</v>
      </c>
      <c r="B397" s="4">
        <v>45674</v>
      </c>
      <c r="C397" s="5">
        <f t="shared" si="12"/>
        <v>45658</v>
      </c>
      <c r="D397" s="3" t="s">
        <v>39</v>
      </c>
      <c r="E397" s="2" t="s">
        <v>40</v>
      </c>
      <c r="F397" s="2" t="s">
        <v>36</v>
      </c>
      <c r="G397" s="2" t="s">
        <v>37</v>
      </c>
      <c r="H397" s="3" t="s">
        <v>24</v>
      </c>
      <c r="I397" s="6">
        <v>50</v>
      </c>
      <c r="J397" s="6">
        <v>57</v>
      </c>
      <c r="K397" s="7">
        <v>0.98120104607426484</v>
      </c>
      <c r="L397" s="7">
        <v>0.96064906428389574</v>
      </c>
      <c r="M397" s="7">
        <v>0.94989119954785262</v>
      </c>
      <c r="N397" s="8">
        <v>27110</v>
      </c>
      <c r="O397" s="7">
        <f t="shared" si="13"/>
        <v>1.0353758610707211</v>
      </c>
    </row>
    <row r="398" spans="1:15">
      <c r="A398" s="3" t="s">
        <v>432</v>
      </c>
      <c r="B398" s="4">
        <v>45677</v>
      </c>
      <c r="C398" s="5">
        <f t="shared" si="12"/>
        <v>45658</v>
      </c>
      <c r="D398" s="3" t="s">
        <v>16</v>
      </c>
      <c r="E398" s="2" t="s">
        <v>17</v>
      </c>
      <c r="F398" s="2" t="s">
        <v>18</v>
      </c>
      <c r="G398" s="2" t="s">
        <v>19</v>
      </c>
      <c r="H398" s="3" t="s">
        <v>20</v>
      </c>
      <c r="I398" s="6">
        <v>55</v>
      </c>
      <c r="J398" s="6">
        <v>57</v>
      </c>
      <c r="K398" s="7">
        <v>0.95748126001749156</v>
      </c>
      <c r="L398" s="7">
        <v>0.94352196383040643</v>
      </c>
      <c r="M398" s="7">
        <v>0.93843394429627158</v>
      </c>
      <c r="N398" s="8">
        <v>35720</v>
      </c>
      <c r="O398" s="7">
        <f t="shared" si="13"/>
        <v>0.98313085298364267</v>
      </c>
    </row>
    <row r="399" spans="1:15">
      <c r="A399" s="3" t="s">
        <v>433</v>
      </c>
      <c r="B399" s="4">
        <v>45677</v>
      </c>
      <c r="C399" s="5">
        <f t="shared" si="12"/>
        <v>45658</v>
      </c>
      <c r="D399" s="3" t="s">
        <v>22</v>
      </c>
      <c r="E399" s="2" t="s">
        <v>23</v>
      </c>
      <c r="F399" s="2" t="s">
        <v>18</v>
      </c>
      <c r="G399" s="2" t="s">
        <v>19</v>
      </c>
      <c r="H399" s="3" t="s">
        <v>24</v>
      </c>
      <c r="I399" s="6">
        <v>33</v>
      </c>
      <c r="J399" s="6">
        <v>33</v>
      </c>
      <c r="K399" s="7">
        <v>0.89367104418481214</v>
      </c>
      <c r="L399" s="7">
        <v>0.96889807818050067</v>
      </c>
      <c r="M399" s="7">
        <v>0.93146837321318454</v>
      </c>
      <c r="N399" s="8">
        <v>19220</v>
      </c>
      <c r="O399" s="7">
        <f t="shared" si="13"/>
        <v>0.95504614741591509</v>
      </c>
    </row>
    <row r="400" spans="1:15">
      <c r="A400" s="3" t="s">
        <v>434</v>
      </c>
      <c r="B400" s="4">
        <v>45677</v>
      </c>
      <c r="C400" s="5">
        <f t="shared" si="12"/>
        <v>45658</v>
      </c>
      <c r="D400" s="3" t="s">
        <v>26</v>
      </c>
      <c r="E400" s="2" t="s">
        <v>27</v>
      </c>
      <c r="F400" s="2" t="s">
        <v>28</v>
      </c>
      <c r="G400" s="2" t="s">
        <v>29</v>
      </c>
      <c r="H400" s="3" t="s">
        <v>20</v>
      </c>
      <c r="I400" s="6">
        <v>36</v>
      </c>
      <c r="J400" s="6">
        <v>35</v>
      </c>
      <c r="K400" s="7">
        <v>0.87914892057427674</v>
      </c>
      <c r="L400" s="7">
        <v>0.96750043387543772</v>
      </c>
      <c r="M400" s="7">
        <v>0.91281903413576293</v>
      </c>
      <c r="N400" s="8">
        <v>14270</v>
      </c>
      <c r="O400" s="7">
        <f t="shared" si="13"/>
        <v>0.93636499094092629</v>
      </c>
    </row>
    <row r="401" spans="1:15">
      <c r="A401" s="3" t="s">
        <v>435</v>
      </c>
      <c r="B401" s="4">
        <v>45678</v>
      </c>
      <c r="C401" s="5">
        <f t="shared" si="12"/>
        <v>45658</v>
      </c>
      <c r="D401" s="3" t="s">
        <v>43</v>
      </c>
      <c r="E401" s="2" t="s">
        <v>44</v>
      </c>
      <c r="F401" s="2" t="s">
        <v>28</v>
      </c>
      <c r="G401" s="2" t="s">
        <v>29</v>
      </c>
      <c r="H401" s="3" t="s">
        <v>45</v>
      </c>
      <c r="I401" s="6">
        <v>29</v>
      </c>
      <c r="J401" s="6">
        <v>27</v>
      </c>
      <c r="K401" s="7">
        <v>0.96582905671504526</v>
      </c>
      <c r="L401" s="7">
        <v>0.99631196461553717</v>
      </c>
      <c r="M401" s="7">
        <v>0.94607755349597744</v>
      </c>
      <c r="N401" s="8">
        <v>10670</v>
      </c>
      <c r="O401" s="7">
        <f t="shared" si="13"/>
        <v>0.95253336267373567</v>
      </c>
    </row>
    <row r="402" spans="1:15">
      <c r="A402" s="3" t="s">
        <v>436</v>
      </c>
      <c r="B402" s="4">
        <v>45679</v>
      </c>
      <c r="C402" s="5">
        <f t="shared" si="12"/>
        <v>45658</v>
      </c>
      <c r="D402" s="3" t="s">
        <v>39</v>
      </c>
      <c r="E402" s="2" t="s">
        <v>40</v>
      </c>
      <c r="F402" s="2" t="s">
        <v>36</v>
      </c>
      <c r="G402" s="2" t="s">
        <v>37</v>
      </c>
      <c r="H402" s="3" t="s">
        <v>24</v>
      </c>
      <c r="I402" s="6">
        <v>40</v>
      </c>
      <c r="J402" s="6">
        <v>44</v>
      </c>
      <c r="K402" s="7">
        <v>0.95274481565646252</v>
      </c>
      <c r="L402" s="7">
        <v>0.95794550178670734</v>
      </c>
      <c r="M402" s="7">
        <v>0.98210096590333174</v>
      </c>
      <c r="N402" s="8">
        <v>18960</v>
      </c>
      <c r="O402" s="7">
        <f t="shared" si="13"/>
        <v>1.0182982223627881</v>
      </c>
    </row>
    <row r="403" spans="1:15">
      <c r="A403" s="3" t="s">
        <v>437</v>
      </c>
      <c r="B403" s="4">
        <v>45681</v>
      </c>
      <c r="C403" s="5">
        <f t="shared" si="12"/>
        <v>45658</v>
      </c>
      <c r="D403" s="3" t="s">
        <v>22</v>
      </c>
      <c r="E403" s="2" t="s">
        <v>23</v>
      </c>
      <c r="F403" s="2" t="s">
        <v>18</v>
      </c>
      <c r="G403" s="2" t="s">
        <v>19</v>
      </c>
      <c r="H403" s="3" t="s">
        <v>24</v>
      </c>
      <c r="I403" s="6">
        <v>44</v>
      </c>
      <c r="J403" s="6">
        <v>43</v>
      </c>
      <c r="K403" s="7">
        <v>0.92995224567899071</v>
      </c>
      <c r="L403" s="7">
        <v>0.96596044494240674</v>
      </c>
      <c r="M403" s="7">
        <v>0.93835937016051174</v>
      </c>
      <c r="N403" s="8">
        <v>21940</v>
      </c>
      <c r="O403" s="7">
        <f t="shared" si="13"/>
        <v>0.95596309310230199</v>
      </c>
    </row>
    <row r="404" spans="1:15">
      <c r="A404" s="3" t="s">
        <v>438</v>
      </c>
      <c r="B404" s="4">
        <v>45681</v>
      </c>
      <c r="C404" s="5">
        <f t="shared" si="12"/>
        <v>45658</v>
      </c>
      <c r="D404" s="3" t="s">
        <v>26</v>
      </c>
      <c r="E404" s="2" t="s">
        <v>27</v>
      </c>
      <c r="F404" s="2" t="s">
        <v>28</v>
      </c>
      <c r="G404" s="2" t="s">
        <v>29</v>
      </c>
      <c r="H404" s="3" t="s">
        <v>20</v>
      </c>
      <c r="I404" s="6">
        <v>54</v>
      </c>
      <c r="J404" s="6">
        <v>48</v>
      </c>
      <c r="K404" s="7">
        <v>0.88357576854921327</v>
      </c>
      <c r="L404" s="7">
        <v>0.9407528897778239</v>
      </c>
      <c r="M404" s="7">
        <v>0.86284625963630224</v>
      </c>
      <c r="N404" s="8">
        <v>19720</v>
      </c>
      <c r="O404" s="7">
        <f t="shared" si="13"/>
        <v>0.89013168308679302</v>
      </c>
    </row>
    <row r="405" spans="1:15">
      <c r="A405" s="3" t="s">
        <v>439</v>
      </c>
      <c r="B405" s="4">
        <v>45685</v>
      </c>
      <c r="C405" s="5">
        <f t="shared" si="12"/>
        <v>45658</v>
      </c>
      <c r="D405" s="3" t="s">
        <v>43</v>
      </c>
      <c r="E405" s="2" t="s">
        <v>44</v>
      </c>
      <c r="F405" s="2" t="s">
        <v>28</v>
      </c>
      <c r="G405" s="2" t="s">
        <v>29</v>
      </c>
      <c r="H405" s="3" t="s">
        <v>45</v>
      </c>
      <c r="I405" s="6">
        <v>55</v>
      </c>
      <c r="J405" s="6">
        <v>54</v>
      </c>
      <c r="K405" s="7">
        <v>0.95395696362892446</v>
      </c>
      <c r="L405" s="7">
        <v>0.95882198534023244</v>
      </c>
      <c r="M405" s="7">
        <v>0.90458012791984388</v>
      </c>
      <c r="N405" s="8">
        <v>25790</v>
      </c>
      <c r="O405" s="7">
        <f t="shared" si="13"/>
        <v>0.95595583701950748</v>
      </c>
    </row>
    <row r="406" spans="1:15">
      <c r="A406" s="3" t="s">
        <v>440</v>
      </c>
      <c r="B406" s="4">
        <v>45687</v>
      </c>
      <c r="C406" s="5">
        <f t="shared" si="12"/>
        <v>45658</v>
      </c>
      <c r="D406" s="3" t="s">
        <v>34</v>
      </c>
      <c r="E406" s="2" t="s">
        <v>35</v>
      </c>
      <c r="F406" s="2" t="s">
        <v>36</v>
      </c>
      <c r="G406" s="2" t="s">
        <v>37</v>
      </c>
      <c r="H406" s="3" t="s">
        <v>20</v>
      </c>
      <c r="I406" s="6">
        <v>31</v>
      </c>
      <c r="J406" s="6">
        <v>30</v>
      </c>
      <c r="K406" s="7">
        <v>0.96761685717359058</v>
      </c>
      <c r="L406" s="7">
        <v>0.9940278070812143</v>
      </c>
      <c r="M406" s="7">
        <v>0.96441602059544329</v>
      </c>
      <c r="N406" s="8">
        <v>12120</v>
      </c>
      <c r="O406" s="7">
        <f t="shared" si="13"/>
        <v>0.97098836366821684</v>
      </c>
    </row>
    <row r="407" spans="1:15">
      <c r="A407" s="3" t="s">
        <v>441</v>
      </c>
      <c r="B407" s="4">
        <v>45688</v>
      </c>
      <c r="C407" s="5">
        <f t="shared" si="12"/>
        <v>45658</v>
      </c>
      <c r="D407" s="3" t="s">
        <v>26</v>
      </c>
      <c r="E407" s="2" t="s">
        <v>27</v>
      </c>
      <c r="F407" s="2" t="s">
        <v>28</v>
      </c>
      <c r="G407" s="2" t="s">
        <v>29</v>
      </c>
      <c r="H407" s="3" t="s">
        <v>20</v>
      </c>
      <c r="I407" s="6">
        <v>48</v>
      </c>
      <c r="J407" s="6">
        <v>47</v>
      </c>
      <c r="K407" s="7">
        <v>0.9023980897737891</v>
      </c>
      <c r="L407" s="7">
        <v>0.97509939367134379</v>
      </c>
      <c r="M407" s="7">
        <v>0.93874428849444169</v>
      </c>
      <c r="N407" s="8">
        <v>18440</v>
      </c>
      <c r="O407" s="7">
        <f t="shared" si="13"/>
        <v>0.95127995585970382</v>
      </c>
    </row>
    <row r="408" spans="1:15">
      <c r="A408" s="3" t="s">
        <v>442</v>
      </c>
      <c r="B408" s="4">
        <v>45688</v>
      </c>
      <c r="C408" s="5">
        <f t="shared" si="12"/>
        <v>45658</v>
      </c>
      <c r="D408" s="3" t="s">
        <v>43</v>
      </c>
      <c r="E408" s="2" t="s">
        <v>44</v>
      </c>
      <c r="F408" s="2" t="s">
        <v>28</v>
      </c>
      <c r="G408" s="2" t="s">
        <v>29</v>
      </c>
      <c r="H408" s="3" t="s">
        <v>45</v>
      </c>
      <c r="I408" s="6">
        <v>38</v>
      </c>
      <c r="J408" s="6">
        <v>37</v>
      </c>
      <c r="K408" s="7">
        <v>0.91299642757084998</v>
      </c>
      <c r="L408" s="7">
        <v>0.97442942124534204</v>
      </c>
      <c r="M408" s="7">
        <v>0.86894416396473806</v>
      </c>
      <c r="N408" s="8">
        <v>17280</v>
      </c>
      <c r="O408" s="7">
        <f t="shared" si="13"/>
        <v>0.93767603708298775</v>
      </c>
    </row>
    <row r="409" spans="1:15">
      <c r="A409" s="3" t="s">
        <v>443</v>
      </c>
      <c r="B409" s="4">
        <v>45693</v>
      </c>
      <c r="C409" s="5">
        <f t="shared" si="12"/>
        <v>45689</v>
      </c>
      <c r="D409" s="3" t="s">
        <v>34</v>
      </c>
      <c r="E409" s="2" t="s">
        <v>35</v>
      </c>
      <c r="F409" s="2" t="s">
        <v>36</v>
      </c>
      <c r="G409" s="2" t="s">
        <v>37</v>
      </c>
      <c r="H409" s="3" t="s">
        <v>20</v>
      </c>
      <c r="I409" s="6">
        <v>30</v>
      </c>
      <c r="J409" s="6">
        <v>28</v>
      </c>
      <c r="K409" s="7">
        <v>0.92781784383350541</v>
      </c>
      <c r="L409" s="7">
        <v>0.97082702048983816</v>
      </c>
      <c r="M409" s="7">
        <v>0.92751640619816522</v>
      </c>
      <c r="N409" s="8">
        <v>12530</v>
      </c>
      <c r="O409" s="7">
        <f t="shared" si="13"/>
        <v>0.93641512860481835</v>
      </c>
    </row>
    <row r="410" spans="1:15">
      <c r="A410" s="3" t="s">
        <v>444</v>
      </c>
      <c r="B410" s="4">
        <v>45694</v>
      </c>
      <c r="C410" s="5">
        <f t="shared" si="12"/>
        <v>45689</v>
      </c>
      <c r="D410" s="3" t="s">
        <v>16</v>
      </c>
      <c r="E410" s="2" t="s">
        <v>17</v>
      </c>
      <c r="F410" s="2" t="s">
        <v>18</v>
      </c>
      <c r="G410" s="2" t="s">
        <v>19</v>
      </c>
      <c r="H410" s="3" t="s">
        <v>20</v>
      </c>
      <c r="I410" s="6">
        <v>51</v>
      </c>
      <c r="J410" s="6">
        <v>57</v>
      </c>
      <c r="K410" s="7">
        <v>0.96130976884132191</v>
      </c>
      <c r="L410" s="7">
        <v>0.95493272923513506</v>
      </c>
      <c r="M410" s="7">
        <v>0.96033391470308227</v>
      </c>
      <c r="N410" s="8">
        <v>30590</v>
      </c>
      <c r="O410" s="7">
        <f t="shared" si="13"/>
        <v>1.022692958065629</v>
      </c>
    </row>
    <row r="411" spans="1:15">
      <c r="A411" s="3" t="s">
        <v>445</v>
      </c>
      <c r="B411" s="4">
        <v>45694</v>
      </c>
      <c r="C411" s="5">
        <f t="shared" si="12"/>
        <v>45689</v>
      </c>
      <c r="D411" s="3" t="s">
        <v>43</v>
      </c>
      <c r="E411" s="2" t="s">
        <v>44</v>
      </c>
      <c r="F411" s="2" t="s">
        <v>28</v>
      </c>
      <c r="G411" s="2" t="s">
        <v>29</v>
      </c>
      <c r="H411" s="3" t="s">
        <v>45</v>
      </c>
      <c r="I411" s="6">
        <v>44</v>
      </c>
      <c r="J411" s="6">
        <v>53</v>
      </c>
      <c r="K411" s="7">
        <v>0.995</v>
      </c>
      <c r="L411" s="7">
        <v>0.99536489595314626</v>
      </c>
      <c r="M411" s="7">
        <v>0.88092918821264798</v>
      </c>
      <c r="N411" s="8">
        <v>25350</v>
      </c>
      <c r="O411" s="7">
        <f t="shared" si="13"/>
        <v>1.0542405720355015</v>
      </c>
    </row>
    <row r="412" spans="1:15">
      <c r="A412" s="3" t="s">
        <v>446</v>
      </c>
      <c r="B412" s="4">
        <v>45694</v>
      </c>
      <c r="C412" s="5">
        <f t="shared" si="12"/>
        <v>45689</v>
      </c>
      <c r="D412" s="3" t="s">
        <v>34</v>
      </c>
      <c r="E412" s="2" t="s">
        <v>35</v>
      </c>
      <c r="F412" s="2" t="s">
        <v>36</v>
      </c>
      <c r="G412" s="2" t="s">
        <v>37</v>
      </c>
      <c r="H412" s="3" t="s">
        <v>20</v>
      </c>
      <c r="I412" s="6">
        <v>47</v>
      </c>
      <c r="J412" s="6">
        <v>46</v>
      </c>
      <c r="K412" s="7">
        <v>0.9110306039047662</v>
      </c>
      <c r="L412" s="7">
        <v>0.94254932812217695</v>
      </c>
      <c r="M412" s="7">
        <v>0.98340198130258072</v>
      </c>
      <c r="N412" s="8">
        <v>21390</v>
      </c>
      <c r="O412" s="7">
        <f t="shared" si="13"/>
        <v>0.95730980815716182</v>
      </c>
    </row>
    <row r="413" spans="1:15">
      <c r="A413" s="3" t="s">
        <v>447</v>
      </c>
      <c r="B413" s="4">
        <v>45695</v>
      </c>
      <c r="C413" s="5">
        <f t="shared" si="12"/>
        <v>45689</v>
      </c>
      <c r="D413" s="3" t="s">
        <v>22</v>
      </c>
      <c r="E413" s="2" t="s">
        <v>23</v>
      </c>
      <c r="F413" s="2" t="s">
        <v>18</v>
      </c>
      <c r="G413" s="2" t="s">
        <v>19</v>
      </c>
      <c r="H413" s="3" t="s">
        <v>24</v>
      </c>
      <c r="I413" s="6">
        <v>28</v>
      </c>
      <c r="J413" s="6">
        <v>28</v>
      </c>
      <c r="K413" s="7">
        <v>0.93485929220722641</v>
      </c>
      <c r="L413" s="7">
        <v>0.93970668637325494</v>
      </c>
      <c r="M413" s="7">
        <v>0.98299806683553026</v>
      </c>
      <c r="N413" s="8">
        <v>14550</v>
      </c>
      <c r="O413" s="7">
        <f t="shared" si="13"/>
        <v>0.97127043937490087</v>
      </c>
    </row>
    <row r="414" spans="1:15">
      <c r="A414" s="3" t="s">
        <v>448</v>
      </c>
      <c r="B414" s="4">
        <v>45695</v>
      </c>
      <c r="C414" s="5">
        <f t="shared" si="12"/>
        <v>45689</v>
      </c>
      <c r="D414" s="3" t="s">
        <v>26</v>
      </c>
      <c r="E414" s="2" t="s">
        <v>27</v>
      </c>
      <c r="F414" s="2" t="s">
        <v>28</v>
      </c>
      <c r="G414" s="2" t="s">
        <v>29</v>
      </c>
      <c r="H414" s="3" t="s">
        <v>20</v>
      </c>
      <c r="I414" s="6">
        <v>40</v>
      </c>
      <c r="J414" s="6">
        <v>35</v>
      </c>
      <c r="K414" s="7">
        <v>0.88652557636191021</v>
      </c>
      <c r="L414" s="7">
        <v>0.94944308209852557</v>
      </c>
      <c r="M414" s="7">
        <v>0.87985387225196598</v>
      </c>
      <c r="N414" s="8">
        <v>12420</v>
      </c>
      <c r="O414" s="7">
        <f t="shared" si="13"/>
        <v>0.89001863085564958</v>
      </c>
    </row>
    <row r="415" spans="1:15">
      <c r="A415" s="3" t="s">
        <v>449</v>
      </c>
      <c r="B415" s="4">
        <v>45695</v>
      </c>
      <c r="C415" s="5">
        <f t="shared" si="12"/>
        <v>45689</v>
      </c>
      <c r="D415" s="3" t="s">
        <v>34</v>
      </c>
      <c r="E415" s="2" t="s">
        <v>35</v>
      </c>
      <c r="F415" s="2" t="s">
        <v>36</v>
      </c>
      <c r="G415" s="2" t="s">
        <v>37</v>
      </c>
      <c r="H415" s="3" t="s">
        <v>20</v>
      </c>
      <c r="I415" s="6">
        <v>54</v>
      </c>
      <c r="J415" s="6">
        <v>50</v>
      </c>
      <c r="K415" s="7">
        <v>0.9676616050006146</v>
      </c>
      <c r="L415" s="7">
        <v>0.96319563181581769</v>
      </c>
      <c r="M415" s="7">
        <v>0.94629945923001979</v>
      </c>
      <c r="N415" s="8">
        <v>26020</v>
      </c>
      <c r="O415" s="7">
        <f t="shared" si="13"/>
        <v>0.94602500823890079</v>
      </c>
    </row>
    <row r="416" spans="1:15">
      <c r="A416" s="3" t="s">
        <v>450</v>
      </c>
      <c r="B416" s="4">
        <v>45698</v>
      </c>
      <c r="C416" s="5">
        <f t="shared" si="12"/>
        <v>45689</v>
      </c>
      <c r="D416" s="3" t="s">
        <v>22</v>
      </c>
      <c r="E416" s="2" t="s">
        <v>23</v>
      </c>
      <c r="F416" s="2" t="s">
        <v>18</v>
      </c>
      <c r="G416" s="2" t="s">
        <v>19</v>
      </c>
      <c r="H416" s="3" t="s">
        <v>24</v>
      </c>
      <c r="I416" s="6">
        <v>46</v>
      </c>
      <c r="J416" s="6">
        <v>50</v>
      </c>
      <c r="K416" s="7">
        <v>0.94002613458908379</v>
      </c>
      <c r="L416" s="7">
        <v>0.94186611823041821</v>
      </c>
      <c r="M416" s="7">
        <v>0.90570264810754864</v>
      </c>
      <c r="N416" s="8">
        <v>26830</v>
      </c>
      <c r="O416" s="7">
        <f t="shared" si="13"/>
        <v>0.99220958969899553</v>
      </c>
    </row>
    <row r="417" spans="1:15">
      <c r="A417" s="3" t="s">
        <v>451</v>
      </c>
      <c r="B417" s="4">
        <v>45698</v>
      </c>
      <c r="C417" s="5">
        <f t="shared" si="12"/>
        <v>45689</v>
      </c>
      <c r="D417" s="3" t="s">
        <v>34</v>
      </c>
      <c r="E417" s="2" t="s">
        <v>35</v>
      </c>
      <c r="F417" s="2" t="s">
        <v>36</v>
      </c>
      <c r="G417" s="2" t="s">
        <v>37</v>
      </c>
      <c r="H417" s="3" t="s">
        <v>20</v>
      </c>
      <c r="I417" s="6">
        <v>52</v>
      </c>
      <c r="J417" s="6">
        <v>53</v>
      </c>
      <c r="K417" s="7">
        <v>0.96244050462029962</v>
      </c>
      <c r="L417" s="7">
        <v>0.94943539561650803</v>
      </c>
      <c r="M417" s="7">
        <v>0.93400482037585419</v>
      </c>
      <c r="N417" s="8">
        <v>24970</v>
      </c>
      <c r="O417" s="7">
        <f t="shared" si="13"/>
        <v>0.97751870726502976</v>
      </c>
    </row>
    <row r="418" spans="1:15">
      <c r="A418" s="3" t="s">
        <v>452</v>
      </c>
      <c r="B418" s="4">
        <v>45699</v>
      </c>
      <c r="C418" s="5">
        <f t="shared" si="12"/>
        <v>45689</v>
      </c>
      <c r="D418" s="3" t="s">
        <v>16</v>
      </c>
      <c r="E418" s="2" t="s">
        <v>17</v>
      </c>
      <c r="F418" s="2" t="s">
        <v>18</v>
      </c>
      <c r="G418" s="2" t="s">
        <v>19</v>
      </c>
      <c r="H418" s="3" t="s">
        <v>20</v>
      </c>
      <c r="I418" s="6">
        <v>34</v>
      </c>
      <c r="J418" s="6">
        <v>41</v>
      </c>
      <c r="K418" s="7">
        <v>0.93280894379463131</v>
      </c>
      <c r="L418" s="7">
        <v>0.95411394055949705</v>
      </c>
      <c r="M418" s="7">
        <v>0.93079158268419204</v>
      </c>
      <c r="N418" s="8">
        <v>22230</v>
      </c>
      <c r="O418" s="7">
        <f t="shared" si="13"/>
        <v>1.0424776435694207</v>
      </c>
    </row>
    <row r="419" spans="1:15">
      <c r="A419" s="3" t="s">
        <v>453</v>
      </c>
      <c r="B419" s="4">
        <v>45699</v>
      </c>
      <c r="C419" s="5">
        <f t="shared" si="12"/>
        <v>45689</v>
      </c>
      <c r="D419" s="3" t="s">
        <v>22</v>
      </c>
      <c r="E419" s="2" t="s">
        <v>23</v>
      </c>
      <c r="F419" s="2" t="s">
        <v>18</v>
      </c>
      <c r="G419" s="2" t="s">
        <v>19</v>
      </c>
      <c r="H419" s="3" t="s">
        <v>24</v>
      </c>
      <c r="I419" s="6">
        <v>38</v>
      </c>
      <c r="J419" s="6">
        <v>37</v>
      </c>
      <c r="K419" s="7">
        <v>0.959316861159623</v>
      </c>
      <c r="L419" s="7">
        <v>0.93646192245575455</v>
      </c>
      <c r="M419" s="7">
        <v>0.95199707379986642</v>
      </c>
      <c r="N419" s="8">
        <v>19180</v>
      </c>
      <c r="O419" s="7">
        <f t="shared" si="13"/>
        <v>0.96017160262876855</v>
      </c>
    </row>
    <row r="420" spans="1:15">
      <c r="A420" s="3" t="s">
        <v>454</v>
      </c>
      <c r="B420" s="4">
        <v>45702</v>
      </c>
      <c r="C420" s="5">
        <f t="shared" si="12"/>
        <v>45689</v>
      </c>
      <c r="D420" s="3" t="s">
        <v>43</v>
      </c>
      <c r="E420" s="2" t="s">
        <v>44</v>
      </c>
      <c r="F420" s="2" t="s">
        <v>28</v>
      </c>
      <c r="G420" s="2" t="s">
        <v>29</v>
      </c>
      <c r="H420" s="3" t="s">
        <v>45</v>
      </c>
      <c r="I420" s="6">
        <v>50</v>
      </c>
      <c r="J420" s="6">
        <v>52</v>
      </c>
      <c r="K420" s="7">
        <v>0.96461937159740152</v>
      </c>
      <c r="L420" s="7">
        <v>0.9424857494919443</v>
      </c>
      <c r="M420" s="7">
        <v>0.95073026495585977</v>
      </c>
      <c r="N420" s="8">
        <v>23020</v>
      </c>
      <c r="O420" s="7">
        <f t="shared" si="13"/>
        <v>0.98867375831431403</v>
      </c>
    </row>
    <row r="421" spans="1:15">
      <c r="A421" s="3" t="s">
        <v>455</v>
      </c>
      <c r="B421" s="4">
        <v>45706</v>
      </c>
      <c r="C421" s="5">
        <f t="shared" si="12"/>
        <v>45689</v>
      </c>
      <c r="D421" s="3" t="s">
        <v>34</v>
      </c>
      <c r="E421" s="2" t="s">
        <v>35</v>
      </c>
      <c r="F421" s="2" t="s">
        <v>36</v>
      </c>
      <c r="G421" s="2" t="s">
        <v>37</v>
      </c>
      <c r="H421" s="3" t="s">
        <v>20</v>
      </c>
      <c r="I421" s="6">
        <v>50</v>
      </c>
      <c r="J421" s="6">
        <v>50</v>
      </c>
      <c r="K421" s="7">
        <v>0.96901572910234779</v>
      </c>
      <c r="L421" s="7">
        <v>0.94445598865732616</v>
      </c>
      <c r="M421" s="7">
        <v>0.9651372948371213</v>
      </c>
      <c r="N421" s="8">
        <v>22240</v>
      </c>
      <c r="O421" s="7">
        <f t="shared" si="13"/>
        <v>0.97694978954161005</v>
      </c>
    </row>
    <row r="422" spans="1:15">
      <c r="A422" s="3" t="s">
        <v>456</v>
      </c>
      <c r="B422" s="4">
        <v>45706</v>
      </c>
      <c r="C422" s="5">
        <f t="shared" si="12"/>
        <v>45689</v>
      </c>
      <c r="D422" s="3" t="s">
        <v>34</v>
      </c>
      <c r="E422" s="2" t="s">
        <v>35</v>
      </c>
      <c r="F422" s="2" t="s">
        <v>36</v>
      </c>
      <c r="G422" s="2" t="s">
        <v>37</v>
      </c>
      <c r="H422" s="3" t="s">
        <v>20</v>
      </c>
      <c r="I422" s="6">
        <v>28</v>
      </c>
      <c r="J422" s="6">
        <v>29</v>
      </c>
      <c r="K422" s="7">
        <v>0.92889117543782695</v>
      </c>
      <c r="L422" s="7">
        <v>0.97891227139729353</v>
      </c>
      <c r="M422" s="7">
        <v>0.93031008107825641</v>
      </c>
      <c r="N422" s="8">
        <v>14070</v>
      </c>
      <c r="O422" s="7">
        <f t="shared" si="13"/>
        <v>0.97940736507041648</v>
      </c>
    </row>
    <row r="423" spans="1:15">
      <c r="A423" s="3" t="s">
        <v>457</v>
      </c>
      <c r="B423" s="4">
        <v>45707</v>
      </c>
      <c r="C423" s="5">
        <f t="shared" si="12"/>
        <v>45689</v>
      </c>
      <c r="D423" s="3" t="s">
        <v>43</v>
      </c>
      <c r="E423" s="2" t="s">
        <v>44</v>
      </c>
      <c r="F423" s="2" t="s">
        <v>28</v>
      </c>
      <c r="G423" s="2" t="s">
        <v>29</v>
      </c>
      <c r="H423" s="3" t="s">
        <v>45</v>
      </c>
      <c r="I423" s="6">
        <v>42</v>
      </c>
      <c r="J423" s="6">
        <v>35</v>
      </c>
      <c r="K423" s="7">
        <v>0.9219224317324568</v>
      </c>
      <c r="L423" s="7">
        <v>0.98412896052989463</v>
      </c>
      <c r="M423" s="7">
        <v>0.9605150393048868</v>
      </c>
      <c r="N423" s="8">
        <v>16080</v>
      </c>
      <c r="O423" s="7">
        <f t="shared" si="13"/>
        <v>0.90353629320690909</v>
      </c>
    </row>
    <row r="424" spans="1:15">
      <c r="A424" s="3" t="s">
        <v>458</v>
      </c>
      <c r="B424" s="4">
        <v>45708</v>
      </c>
      <c r="C424" s="5">
        <f t="shared" si="12"/>
        <v>45689</v>
      </c>
      <c r="D424" s="3" t="s">
        <v>34</v>
      </c>
      <c r="E424" s="2" t="s">
        <v>35</v>
      </c>
      <c r="F424" s="2" t="s">
        <v>36</v>
      </c>
      <c r="G424" s="2" t="s">
        <v>37</v>
      </c>
      <c r="H424" s="3" t="s">
        <v>20</v>
      </c>
      <c r="I424" s="6">
        <v>47</v>
      </c>
      <c r="J424" s="6">
        <v>47</v>
      </c>
      <c r="K424" s="7">
        <v>0.87512373255381737</v>
      </c>
      <c r="L424" s="7">
        <v>0.96089226553064788</v>
      </c>
      <c r="M424" s="7">
        <v>0.95602388094764545</v>
      </c>
      <c r="N424" s="8">
        <v>23300</v>
      </c>
      <c r="O424" s="7">
        <f t="shared" si="13"/>
        <v>0.95411954915758068</v>
      </c>
    </row>
    <row r="425" spans="1:15">
      <c r="A425" s="3" t="s">
        <v>459</v>
      </c>
      <c r="B425" s="4">
        <v>45709</v>
      </c>
      <c r="C425" s="5">
        <f t="shared" si="12"/>
        <v>45689</v>
      </c>
      <c r="D425" s="3" t="s">
        <v>22</v>
      </c>
      <c r="E425" s="2" t="s">
        <v>23</v>
      </c>
      <c r="F425" s="2" t="s">
        <v>18</v>
      </c>
      <c r="G425" s="2" t="s">
        <v>19</v>
      </c>
      <c r="H425" s="3" t="s">
        <v>24</v>
      </c>
      <c r="I425" s="6">
        <v>28</v>
      </c>
      <c r="J425" s="6">
        <v>29</v>
      </c>
      <c r="K425" s="7">
        <v>0.94506830223060567</v>
      </c>
      <c r="L425" s="7">
        <v>0.97966950255566621</v>
      </c>
      <c r="M425" s="7">
        <v>0.90323251534745308</v>
      </c>
      <c r="N425" s="8">
        <v>18040</v>
      </c>
      <c r="O425" s="7">
        <f t="shared" si="13"/>
        <v>0.97814971829620634</v>
      </c>
    </row>
    <row r="426" spans="1:15">
      <c r="A426" s="3" t="s">
        <v>460</v>
      </c>
      <c r="B426" s="4">
        <v>45709</v>
      </c>
      <c r="C426" s="5">
        <f t="shared" si="12"/>
        <v>45689</v>
      </c>
      <c r="D426" s="3" t="s">
        <v>26</v>
      </c>
      <c r="E426" s="2" t="s">
        <v>27</v>
      </c>
      <c r="F426" s="2" t="s">
        <v>28</v>
      </c>
      <c r="G426" s="2" t="s">
        <v>29</v>
      </c>
      <c r="H426" s="3" t="s">
        <v>20</v>
      </c>
      <c r="I426" s="6">
        <v>46</v>
      </c>
      <c r="J426" s="6">
        <v>52</v>
      </c>
      <c r="K426" s="7">
        <v>0.85634180884303157</v>
      </c>
      <c r="L426" s="7">
        <v>0.97228737290272793</v>
      </c>
      <c r="M426" s="7">
        <v>0.93212010972535853</v>
      </c>
      <c r="N426" s="8">
        <v>18890</v>
      </c>
      <c r="O426" s="7">
        <f t="shared" si="13"/>
        <v>0.99852649313471697</v>
      </c>
    </row>
    <row r="427" spans="1:15">
      <c r="A427" s="3" t="s">
        <v>461</v>
      </c>
      <c r="B427" s="4">
        <v>45712</v>
      </c>
      <c r="C427" s="5">
        <f t="shared" si="12"/>
        <v>45689</v>
      </c>
      <c r="D427" s="3" t="s">
        <v>26</v>
      </c>
      <c r="E427" s="2" t="s">
        <v>27</v>
      </c>
      <c r="F427" s="2" t="s">
        <v>28</v>
      </c>
      <c r="G427" s="2" t="s">
        <v>29</v>
      </c>
      <c r="H427" s="3" t="s">
        <v>20</v>
      </c>
      <c r="I427" s="6">
        <v>29</v>
      </c>
      <c r="J427" s="6">
        <v>27</v>
      </c>
      <c r="K427" s="7">
        <v>0.92789719934045423</v>
      </c>
      <c r="L427" s="7">
        <v>0.96509140828770024</v>
      </c>
      <c r="M427" s="7">
        <v>0.87630929520058898</v>
      </c>
      <c r="N427" s="8">
        <v>12210</v>
      </c>
      <c r="O427" s="7">
        <f t="shared" si="13"/>
        <v>0.92441366322183471</v>
      </c>
    </row>
    <row r="428" spans="1:15">
      <c r="A428" s="3" t="s">
        <v>462</v>
      </c>
      <c r="B428" s="4">
        <v>45712</v>
      </c>
      <c r="C428" s="5">
        <f t="shared" si="12"/>
        <v>45689</v>
      </c>
      <c r="D428" s="3" t="s">
        <v>43</v>
      </c>
      <c r="E428" s="2" t="s">
        <v>44</v>
      </c>
      <c r="F428" s="2" t="s">
        <v>28</v>
      </c>
      <c r="G428" s="2" t="s">
        <v>29</v>
      </c>
      <c r="H428" s="3" t="s">
        <v>45</v>
      </c>
      <c r="I428" s="6">
        <v>39</v>
      </c>
      <c r="J428" s="6">
        <v>40</v>
      </c>
      <c r="K428" s="7">
        <v>0.93568235636443897</v>
      </c>
      <c r="L428" s="7">
        <v>0.96615502934452724</v>
      </c>
      <c r="M428" s="7">
        <v>0.92759506891375298</v>
      </c>
      <c r="N428" s="8">
        <v>17960</v>
      </c>
      <c r="O428" s="7">
        <f t="shared" si="13"/>
        <v>0.97461926753194961</v>
      </c>
    </row>
    <row r="429" spans="1:15">
      <c r="A429" s="3" t="s">
        <v>463</v>
      </c>
      <c r="B429" s="4">
        <v>45712</v>
      </c>
      <c r="C429" s="5">
        <f t="shared" si="12"/>
        <v>45689</v>
      </c>
      <c r="D429" s="3" t="s">
        <v>34</v>
      </c>
      <c r="E429" s="2" t="s">
        <v>35</v>
      </c>
      <c r="F429" s="2" t="s">
        <v>36</v>
      </c>
      <c r="G429" s="2" t="s">
        <v>37</v>
      </c>
      <c r="H429" s="3" t="s">
        <v>20</v>
      </c>
      <c r="I429" s="6">
        <v>44</v>
      </c>
      <c r="J429" s="6">
        <v>45</v>
      </c>
      <c r="K429" s="7">
        <v>0.87658817052413607</v>
      </c>
      <c r="L429" s="7">
        <v>0.98048118975821685</v>
      </c>
      <c r="M429" s="7">
        <v>0.90842395015949617</v>
      </c>
      <c r="N429" s="8">
        <v>18250</v>
      </c>
      <c r="O429" s="7">
        <f t="shared" si="13"/>
        <v>0.95699492021757493</v>
      </c>
    </row>
    <row r="430" spans="1:15">
      <c r="A430" s="3" t="s">
        <v>464</v>
      </c>
      <c r="B430" s="4">
        <v>45713</v>
      </c>
      <c r="C430" s="5">
        <f t="shared" si="12"/>
        <v>45689</v>
      </c>
      <c r="D430" s="3" t="s">
        <v>16</v>
      </c>
      <c r="E430" s="2" t="s">
        <v>17</v>
      </c>
      <c r="F430" s="2" t="s">
        <v>18</v>
      </c>
      <c r="G430" s="2" t="s">
        <v>19</v>
      </c>
      <c r="H430" s="3" t="s">
        <v>20</v>
      </c>
      <c r="I430" s="6">
        <v>28</v>
      </c>
      <c r="J430" s="6">
        <v>34</v>
      </c>
      <c r="K430" s="7">
        <v>0.94636077401322716</v>
      </c>
      <c r="L430" s="7">
        <v>0.95557556368131413</v>
      </c>
      <c r="M430" s="7">
        <v>0.92505816813289277</v>
      </c>
      <c r="N430" s="8">
        <v>19600</v>
      </c>
      <c r="O430" s="7">
        <f t="shared" si="13"/>
        <v>1.0449381616820825</v>
      </c>
    </row>
    <row r="431" spans="1:15">
      <c r="A431" s="3" t="s">
        <v>465</v>
      </c>
      <c r="B431" s="4">
        <v>45713</v>
      </c>
      <c r="C431" s="5">
        <f t="shared" si="12"/>
        <v>45689</v>
      </c>
      <c r="D431" s="3" t="s">
        <v>43</v>
      </c>
      <c r="E431" s="2" t="s">
        <v>44</v>
      </c>
      <c r="F431" s="2" t="s">
        <v>28</v>
      </c>
      <c r="G431" s="2" t="s">
        <v>29</v>
      </c>
      <c r="H431" s="3" t="s">
        <v>45</v>
      </c>
      <c r="I431" s="6">
        <v>35</v>
      </c>
      <c r="J431" s="6">
        <v>40</v>
      </c>
      <c r="K431" s="7">
        <v>0.93914244429877314</v>
      </c>
      <c r="L431" s="7">
        <v>0.99102469743897925</v>
      </c>
      <c r="M431" s="7">
        <v>0.92398351645260668</v>
      </c>
      <c r="N431" s="8">
        <v>16860</v>
      </c>
      <c r="O431" s="7">
        <f t="shared" si="13"/>
        <v>1.0253788761239186</v>
      </c>
    </row>
    <row r="432" spans="1:15">
      <c r="A432" s="3" t="s">
        <v>466</v>
      </c>
      <c r="B432" s="4">
        <v>45714</v>
      </c>
      <c r="C432" s="5">
        <f t="shared" si="12"/>
        <v>45689</v>
      </c>
      <c r="D432" s="3" t="s">
        <v>26</v>
      </c>
      <c r="E432" s="2" t="s">
        <v>27</v>
      </c>
      <c r="F432" s="2" t="s">
        <v>28</v>
      </c>
      <c r="G432" s="2" t="s">
        <v>29</v>
      </c>
      <c r="H432" s="3" t="s">
        <v>20</v>
      </c>
      <c r="I432" s="6">
        <v>35</v>
      </c>
      <c r="J432" s="6">
        <v>33</v>
      </c>
      <c r="K432" s="7">
        <v>0.82772789754915232</v>
      </c>
      <c r="L432" s="7">
        <v>0.95032522994837443</v>
      </c>
      <c r="M432" s="7">
        <v>0.88002375929484444</v>
      </c>
      <c r="N432" s="8">
        <v>14540</v>
      </c>
      <c r="O432" s="7">
        <f t="shared" si="13"/>
        <v>0.90262836788137035</v>
      </c>
    </row>
    <row r="433" spans="1:15">
      <c r="A433" s="3" t="s">
        <v>467</v>
      </c>
      <c r="B433" s="4">
        <v>45714</v>
      </c>
      <c r="C433" s="5">
        <f t="shared" si="12"/>
        <v>45689</v>
      </c>
      <c r="D433" s="3" t="s">
        <v>39</v>
      </c>
      <c r="E433" s="2" t="s">
        <v>40</v>
      </c>
      <c r="F433" s="2" t="s">
        <v>36</v>
      </c>
      <c r="G433" s="2" t="s">
        <v>37</v>
      </c>
      <c r="H433" s="3" t="s">
        <v>24</v>
      </c>
      <c r="I433" s="6">
        <v>34</v>
      </c>
      <c r="J433" s="6">
        <v>39</v>
      </c>
      <c r="K433" s="7">
        <v>0.94953955896467379</v>
      </c>
      <c r="L433" s="7">
        <v>0.97369131816598709</v>
      </c>
      <c r="M433" s="7">
        <v>0.995</v>
      </c>
      <c r="N433" s="8">
        <v>19460</v>
      </c>
      <c r="O433" s="7">
        <f t="shared" si="13"/>
        <v>1.0412621168778313</v>
      </c>
    </row>
    <row r="434" spans="1:15">
      <c r="A434" s="3" t="s">
        <v>468</v>
      </c>
      <c r="B434" s="4">
        <v>45716</v>
      </c>
      <c r="C434" s="5">
        <f t="shared" si="12"/>
        <v>45689</v>
      </c>
      <c r="D434" s="3" t="s">
        <v>22</v>
      </c>
      <c r="E434" s="2" t="s">
        <v>23</v>
      </c>
      <c r="F434" s="2" t="s">
        <v>18</v>
      </c>
      <c r="G434" s="2" t="s">
        <v>19</v>
      </c>
      <c r="H434" s="3" t="s">
        <v>24</v>
      </c>
      <c r="I434" s="6">
        <v>47</v>
      </c>
      <c r="J434" s="6">
        <v>44</v>
      </c>
      <c r="K434" s="7">
        <v>0.90247020615657958</v>
      </c>
      <c r="L434" s="7">
        <v>0.96283080740560467</v>
      </c>
      <c r="M434" s="7">
        <v>0.92392635178415772</v>
      </c>
      <c r="N434" s="8">
        <v>26960</v>
      </c>
      <c r="O434" s="7">
        <f t="shared" si="13"/>
        <v>0.92929552811320026</v>
      </c>
    </row>
    <row r="435" spans="1:15">
      <c r="A435" s="3" t="s">
        <v>469</v>
      </c>
      <c r="B435" s="4">
        <v>45716</v>
      </c>
      <c r="C435" s="5">
        <f t="shared" si="12"/>
        <v>45689</v>
      </c>
      <c r="D435" s="3" t="s">
        <v>22</v>
      </c>
      <c r="E435" s="2" t="s">
        <v>23</v>
      </c>
      <c r="F435" s="2" t="s">
        <v>18</v>
      </c>
      <c r="G435" s="2" t="s">
        <v>19</v>
      </c>
      <c r="H435" s="3" t="s">
        <v>24</v>
      </c>
      <c r="I435" s="6">
        <v>47</v>
      </c>
      <c r="J435" s="6">
        <v>45</v>
      </c>
      <c r="K435" s="7">
        <v>0.89968178432643298</v>
      </c>
      <c r="L435" s="7">
        <v>0.94961713437218254</v>
      </c>
      <c r="M435" s="7">
        <v>0.93399631309175535</v>
      </c>
      <c r="N435" s="8">
        <v>27880</v>
      </c>
      <c r="O435" s="7">
        <f t="shared" si="13"/>
        <v>0.93714100226004216</v>
      </c>
    </row>
    <row r="436" spans="1:15">
      <c r="A436" s="3" t="s">
        <v>470</v>
      </c>
      <c r="B436" s="4">
        <v>45716</v>
      </c>
      <c r="C436" s="5">
        <f t="shared" si="12"/>
        <v>45689</v>
      </c>
      <c r="D436" s="3" t="s">
        <v>22</v>
      </c>
      <c r="E436" s="2" t="s">
        <v>23</v>
      </c>
      <c r="F436" s="2" t="s">
        <v>18</v>
      </c>
      <c r="G436" s="2" t="s">
        <v>19</v>
      </c>
      <c r="H436" s="3" t="s">
        <v>24</v>
      </c>
      <c r="I436" s="6">
        <v>45</v>
      </c>
      <c r="J436" s="6">
        <v>44</v>
      </c>
      <c r="K436" s="7">
        <v>0.91964670452181341</v>
      </c>
      <c r="L436" s="7">
        <v>0.96224440001649347</v>
      </c>
      <c r="M436" s="7">
        <v>0.96839978349545508</v>
      </c>
      <c r="N436" s="8">
        <v>23280</v>
      </c>
      <c r="O436" s="7">
        <f t="shared" si="13"/>
        <v>0.95903940394312948</v>
      </c>
    </row>
    <row r="437" spans="1:15">
      <c r="A437" s="3" t="s">
        <v>471</v>
      </c>
      <c r="B437" s="4">
        <v>45716</v>
      </c>
      <c r="C437" s="5">
        <f t="shared" si="12"/>
        <v>45689</v>
      </c>
      <c r="D437" s="3" t="s">
        <v>22</v>
      </c>
      <c r="E437" s="2" t="s">
        <v>23</v>
      </c>
      <c r="F437" s="2" t="s">
        <v>18</v>
      </c>
      <c r="G437" s="2" t="s">
        <v>19</v>
      </c>
      <c r="H437" s="3" t="s">
        <v>24</v>
      </c>
      <c r="I437" s="6">
        <v>53</v>
      </c>
      <c r="J437" s="6">
        <v>51</v>
      </c>
      <c r="K437" s="7">
        <v>0.927463985904455</v>
      </c>
      <c r="L437" s="7">
        <v>0.95470375982695888</v>
      </c>
      <c r="M437" s="7">
        <v>0.89289274494941406</v>
      </c>
      <c r="N437" s="8">
        <v>29990</v>
      </c>
      <c r="O437" s="7">
        <f t="shared" si="13"/>
        <v>0.93855576981739886</v>
      </c>
    </row>
    <row r="438" spans="1:15">
      <c r="A438" s="3" t="s">
        <v>472</v>
      </c>
      <c r="B438" s="4">
        <v>45716</v>
      </c>
      <c r="C438" s="5">
        <f t="shared" si="12"/>
        <v>45689</v>
      </c>
      <c r="D438" s="3" t="s">
        <v>26</v>
      </c>
      <c r="E438" s="2" t="s">
        <v>27</v>
      </c>
      <c r="F438" s="2" t="s">
        <v>28</v>
      </c>
      <c r="G438" s="2" t="s">
        <v>29</v>
      </c>
      <c r="H438" s="3" t="s">
        <v>20</v>
      </c>
      <c r="I438" s="6">
        <v>42</v>
      </c>
      <c r="J438" s="6">
        <v>37</v>
      </c>
      <c r="K438" s="7">
        <v>0.92368760798362926</v>
      </c>
      <c r="L438" s="7">
        <v>0.93975610975068991</v>
      </c>
      <c r="M438" s="7">
        <v>0.89249348881488855</v>
      </c>
      <c r="N438" s="8">
        <v>15570</v>
      </c>
      <c r="O438" s="7">
        <f t="shared" si="13"/>
        <v>0.90276496860244082</v>
      </c>
    </row>
    <row r="439" spans="1:15">
      <c r="A439" s="3" t="s">
        <v>473</v>
      </c>
      <c r="B439" s="4">
        <v>45716</v>
      </c>
      <c r="C439" s="5">
        <f t="shared" si="12"/>
        <v>45689</v>
      </c>
      <c r="D439" s="3" t="s">
        <v>26</v>
      </c>
      <c r="E439" s="2" t="s">
        <v>27</v>
      </c>
      <c r="F439" s="2" t="s">
        <v>28</v>
      </c>
      <c r="G439" s="2" t="s">
        <v>29</v>
      </c>
      <c r="H439" s="3" t="s">
        <v>20</v>
      </c>
      <c r="I439" s="6">
        <v>29</v>
      </c>
      <c r="J439" s="6">
        <v>32</v>
      </c>
      <c r="K439" s="7">
        <v>0.8809785649098304</v>
      </c>
      <c r="L439" s="7">
        <v>0.9237377781643018</v>
      </c>
      <c r="M439" s="7">
        <v>0.8654110747044057</v>
      </c>
      <c r="N439" s="8">
        <v>12570</v>
      </c>
      <c r="O439" s="7">
        <f t="shared" si="13"/>
        <v>0.9732668332378116</v>
      </c>
    </row>
    <row r="440" spans="1:15">
      <c r="A440" s="3" t="s">
        <v>474</v>
      </c>
      <c r="B440" s="4">
        <v>45716</v>
      </c>
      <c r="C440" s="5">
        <f t="shared" si="12"/>
        <v>45689</v>
      </c>
      <c r="D440" s="3" t="s">
        <v>26</v>
      </c>
      <c r="E440" s="2" t="s">
        <v>27</v>
      </c>
      <c r="F440" s="2" t="s">
        <v>28</v>
      </c>
      <c r="G440" s="2" t="s">
        <v>29</v>
      </c>
      <c r="H440" s="3" t="s">
        <v>20</v>
      </c>
      <c r="I440" s="6">
        <v>32</v>
      </c>
      <c r="J440" s="6">
        <v>32</v>
      </c>
      <c r="K440" s="7">
        <v>0.8731858508424799</v>
      </c>
      <c r="L440" s="7">
        <v>0.95948116998313882</v>
      </c>
      <c r="M440" s="7">
        <v>0.90801442017419687</v>
      </c>
      <c r="N440" s="8">
        <v>14380</v>
      </c>
      <c r="O440" s="7">
        <f t="shared" si="13"/>
        <v>0.94382152224293026</v>
      </c>
    </row>
    <row r="441" spans="1:15">
      <c r="A441" s="3" t="s">
        <v>475</v>
      </c>
      <c r="B441" s="4">
        <v>45716</v>
      </c>
      <c r="C441" s="5">
        <f t="shared" si="12"/>
        <v>45689</v>
      </c>
      <c r="D441" s="3" t="s">
        <v>43</v>
      </c>
      <c r="E441" s="2" t="s">
        <v>44</v>
      </c>
      <c r="F441" s="2" t="s">
        <v>28</v>
      </c>
      <c r="G441" s="2" t="s">
        <v>29</v>
      </c>
      <c r="H441" s="3" t="s">
        <v>45</v>
      </c>
      <c r="I441" s="6">
        <v>48</v>
      </c>
      <c r="J441" s="6">
        <v>45</v>
      </c>
      <c r="K441" s="7">
        <v>0.93396180538972429</v>
      </c>
      <c r="L441" s="7">
        <v>0.96643780685035885</v>
      </c>
      <c r="M441" s="7">
        <v>0.93816840728721984</v>
      </c>
      <c r="N441" s="8">
        <v>17180</v>
      </c>
      <c r="O441" s="7">
        <f t="shared" si="13"/>
        <v>0.94108980383242891</v>
      </c>
    </row>
    <row r="442" spans="1:15">
      <c r="A442" s="3" t="s">
        <v>476</v>
      </c>
      <c r="B442" s="4">
        <v>45716</v>
      </c>
      <c r="C442" s="5">
        <f t="shared" si="12"/>
        <v>45689</v>
      </c>
      <c r="D442" s="3" t="s">
        <v>43</v>
      </c>
      <c r="E442" s="2" t="s">
        <v>44</v>
      </c>
      <c r="F442" s="2" t="s">
        <v>28</v>
      </c>
      <c r="G442" s="2" t="s">
        <v>29</v>
      </c>
      <c r="H442" s="3" t="s">
        <v>45</v>
      </c>
      <c r="I442" s="6">
        <v>33</v>
      </c>
      <c r="J442" s="6">
        <v>36</v>
      </c>
      <c r="K442" s="7">
        <v>0.99403011178952994</v>
      </c>
      <c r="L442" s="7">
        <v>0.99225906062176583</v>
      </c>
      <c r="M442" s="7">
        <v>0.90194586067233584</v>
      </c>
      <c r="N442" s="8">
        <v>15280</v>
      </c>
      <c r="O442" s="7">
        <f t="shared" si="13"/>
        <v>1.0140991955387508</v>
      </c>
    </row>
    <row r="443" spans="1:15">
      <c r="A443" s="3" t="s">
        <v>477</v>
      </c>
      <c r="B443" s="4">
        <v>45716</v>
      </c>
      <c r="C443" s="5">
        <f t="shared" si="12"/>
        <v>45689</v>
      </c>
      <c r="D443" s="3" t="s">
        <v>34</v>
      </c>
      <c r="E443" s="2" t="s">
        <v>35</v>
      </c>
      <c r="F443" s="2" t="s">
        <v>36</v>
      </c>
      <c r="G443" s="2" t="s">
        <v>37</v>
      </c>
      <c r="H443" s="3" t="s">
        <v>20</v>
      </c>
      <c r="I443" s="6">
        <v>36</v>
      </c>
      <c r="J443" s="6">
        <v>36</v>
      </c>
      <c r="K443" s="7">
        <v>0.96144186718363867</v>
      </c>
      <c r="L443" s="7">
        <v>0.95508681224131808</v>
      </c>
      <c r="M443" s="7">
        <v>0.95081901005826996</v>
      </c>
      <c r="N443" s="8">
        <v>17490</v>
      </c>
      <c r="O443" s="7">
        <f t="shared" si="13"/>
        <v>0.97378729064376146</v>
      </c>
    </row>
    <row r="444" spans="1:15">
      <c r="A444" s="3" t="s">
        <v>478</v>
      </c>
      <c r="B444" s="4">
        <v>45716</v>
      </c>
      <c r="C444" s="5">
        <f t="shared" si="12"/>
        <v>45689</v>
      </c>
      <c r="D444" s="3" t="s">
        <v>39</v>
      </c>
      <c r="E444" s="2" t="s">
        <v>40</v>
      </c>
      <c r="F444" s="2" t="s">
        <v>36</v>
      </c>
      <c r="G444" s="2" t="s">
        <v>37</v>
      </c>
      <c r="H444" s="3" t="s">
        <v>24</v>
      </c>
      <c r="I444" s="6">
        <v>41</v>
      </c>
      <c r="J444" s="6">
        <v>44</v>
      </c>
      <c r="K444" s="7">
        <v>0.98664068273049454</v>
      </c>
      <c r="L444" s="7">
        <v>1</v>
      </c>
      <c r="M444" s="7">
        <v>0.98947557430373279</v>
      </c>
      <c r="N444" s="8">
        <v>20750</v>
      </c>
      <c r="O444" s="7">
        <f t="shared" si="13"/>
        <v>1.023823578226297</v>
      </c>
    </row>
    <row r="445" spans="1:15">
      <c r="A445" s="3" t="s">
        <v>479</v>
      </c>
      <c r="B445" s="4">
        <v>45716</v>
      </c>
      <c r="C445" s="5">
        <f t="shared" si="12"/>
        <v>45689</v>
      </c>
      <c r="D445" s="3" t="s">
        <v>39</v>
      </c>
      <c r="E445" s="2" t="s">
        <v>40</v>
      </c>
      <c r="F445" s="2" t="s">
        <v>36</v>
      </c>
      <c r="G445" s="2" t="s">
        <v>37</v>
      </c>
      <c r="H445" s="3" t="s">
        <v>24</v>
      </c>
      <c r="I445" s="6">
        <v>53</v>
      </c>
      <c r="J445" s="6">
        <v>62</v>
      </c>
      <c r="K445" s="7">
        <v>0.95890286930210467</v>
      </c>
      <c r="L445" s="7">
        <v>0.97724657793947689</v>
      </c>
      <c r="M445" s="7">
        <v>0.96859681441540924</v>
      </c>
      <c r="N445" s="8">
        <v>28040</v>
      </c>
      <c r="O445" s="7">
        <f t="shared" si="13"/>
        <v>1.0479565952014163</v>
      </c>
    </row>
    <row r="446" spans="1:15">
      <c r="A446" s="3" t="s">
        <v>480</v>
      </c>
      <c r="B446" s="4">
        <v>45716</v>
      </c>
      <c r="C446" s="5">
        <f t="shared" si="12"/>
        <v>45689</v>
      </c>
      <c r="D446" s="3" t="s">
        <v>39</v>
      </c>
      <c r="E446" s="2" t="s">
        <v>40</v>
      </c>
      <c r="F446" s="2" t="s">
        <v>36</v>
      </c>
      <c r="G446" s="2" t="s">
        <v>37</v>
      </c>
      <c r="H446" s="3" t="s">
        <v>24</v>
      </c>
      <c r="I446" s="6">
        <v>33</v>
      </c>
      <c r="J446" s="6">
        <v>35</v>
      </c>
      <c r="K446" s="7">
        <v>0.93222562213020765</v>
      </c>
      <c r="L446" s="7">
        <v>0.94196956473745797</v>
      </c>
      <c r="M446" s="7">
        <v>0.99314292175525121</v>
      </c>
      <c r="N446" s="8">
        <v>14830</v>
      </c>
      <c r="O446" s="7">
        <f t="shared" si="13"/>
        <v>0.99722284883664514</v>
      </c>
    </row>
    <row r="447" spans="1:15">
      <c r="A447" s="3" t="s">
        <v>481</v>
      </c>
      <c r="B447" s="4">
        <v>45720</v>
      </c>
      <c r="C447" s="5">
        <f t="shared" si="12"/>
        <v>45717</v>
      </c>
      <c r="D447" s="3" t="s">
        <v>16</v>
      </c>
      <c r="E447" s="2" t="s">
        <v>17</v>
      </c>
      <c r="F447" s="2" t="s">
        <v>18</v>
      </c>
      <c r="G447" s="2" t="s">
        <v>19</v>
      </c>
      <c r="H447" s="3" t="s">
        <v>20</v>
      </c>
      <c r="I447" s="6">
        <v>40</v>
      </c>
      <c r="J447" s="6">
        <v>43</v>
      </c>
      <c r="K447" s="7">
        <v>0.94652858614444124</v>
      </c>
      <c r="L447" s="7">
        <v>0.96389265770921728</v>
      </c>
      <c r="M447" s="7">
        <v>0.8960364022677606</v>
      </c>
      <c r="N447" s="8">
        <v>22730</v>
      </c>
      <c r="O447" s="7">
        <f t="shared" si="13"/>
        <v>0.99042332564604496</v>
      </c>
    </row>
    <row r="448" spans="1:15">
      <c r="A448" s="3" t="s">
        <v>482</v>
      </c>
      <c r="B448" s="4">
        <v>45721</v>
      </c>
      <c r="C448" s="5">
        <f t="shared" si="12"/>
        <v>45717</v>
      </c>
      <c r="D448" s="3" t="s">
        <v>16</v>
      </c>
      <c r="E448" s="2" t="s">
        <v>17</v>
      </c>
      <c r="F448" s="2" t="s">
        <v>18</v>
      </c>
      <c r="G448" s="2" t="s">
        <v>19</v>
      </c>
      <c r="H448" s="3" t="s">
        <v>20</v>
      </c>
      <c r="I448" s="6">
        <v>48</v>
      </c>
      <c r="J448" s="6">
        <v>56</v>
      </c>
      <c r="K448" s="7">
        <v>0.92990075683701923</v>
      </c>
      <c r="L448" s="7">
        <v>0.96452155672815409</v>
      </c>
      <c r="M448" s="7">
        <v>0.96212617009349377</v>
      </c>
      <c r="N448" s="8">
        <v>35940</v>
      </c>
      <c r="O448" s="7">
        <f t="shared" si="13"/>
        <v>1.0362453234038433</v>
      </c>
    </row>
    <row r="449" spans="1:15">
      <c r="A449" s="3" t="s">
        <v>483</v>
      </c>
      <c r="B449" s="4">
        <v>45722</v>
      </c>
      <c r="C449" s="5">
        <f t="shared" si="12"/>
        <v>45717</v>
      </c>
      <c r="D449" s="3" t="s">
        <v>22</v>
      </c>
      <c r="E449" s="2" t="s">
        <v>23</v>
      </c>
      <c r="F449" s="2" t="s">
        <v>18</v>
      </c>
      <c r="G449" s="2" t="s">
        <v>19</v>
      </c>
      <c r="H449" s="3" t="s">
        <v>24</v>
      </c>
      <c r="I449" s="6">
        <v>39</v>
      </c>
      <c r="J449" s="6">
        <v>43</v>
      </c>
      <c r="K449" s="7">
        <v>0.92110828109021459</v>
      </c>
      <c r="L449" s="7">
        <v>0.98677332338219681</v>
      </c>
      <c r="M449" s="7">
        <v>0.90702897097014157</v>
      </c>
      <c r="N449" s="8">
        <v>23030</v>
      </c>
      <c r="O449" s="7">
        <f t="shared" si="13"/>
        <v>1.0007245039995525</v>
      </c>
    </row>
    <row r="450" spans="1:15">
      <c r="A450" s="3" t="s">
        <v>484</v>
      </c>
      <c r="B450" s="4">
        <v>45723</v>
      </c>
      <c r="C450" s="5">
        <f t="shared" ref="C450:C513" si="14">DATE(YEAR(B450),MONTH(B450),1)</f>
        <v>45717</v>
      </c>
      <c r="D450" s="3" t="s">
        <v>26</v>
      </c>
      <c r="E450" s="2" t="s">
        <v>27</v>
      </c>
      <c r="F450" s="2" t="s">
        <v>28</v>
      </c>
      <c r="G450" s="2" t="s">
        <v>29</v>
      </c>
      <c r="H450" s="3" t="s">
        <v>20</v>
      </c>
      <c r="I450" s="6">
        <v>50</v>
      </c>
      <c r="J450" s="6">
        <v>44</v>
      </c>
      <c r="K450" s="7">
        <v>0.92281912131337329</v>
      </c>
      <c r="L450" s="7">
        <v>0.93992723677459256</v>
      </c>
      <c r="M450" s="7">
        <v>0.88635701281185064</v>
      </c>
      <c r="N450" s="8">
        <v>15650</v>
      </c>
      <c r="O450" s="7">
        <f t="shared" ref="O450:O513" si="15">MIN(J450/I450,1.2)*40%+K450*25%+L450*15%+M450*20%</f>
        <v>0.90096526840690239</v>
      </c>
    </row>
    <row r="451" spans="1:15">
      <c r="A451" s="3" t="s">
        <v>485</v>
      </c>
      <c r="B451" s="4">
        <v>45723</v>
      </c>
      <c r="C451" s="5">
        <f t="shared" si="14"/>
        <v>45717</v>
      </c>
      <c r="D451" s="3" t="s">
        <v>43</v>
      </c>
      <c r="E451" s="2" t="s">
        <v>44</v>
      </c>
      <c r="F451" s="2" t="s">
        <v>28</v>
      </c>
      <c r="G451" s="2" t="s">
        <v>29</v>
      </c>
      <c r="H451" s="3" t="s">
        <v>45</v>
      </c>
      <c r="I451" s="6">
        <v>44</v>
      </c>
      <c r="J451" s="6">
        <v>48</v>
      </c>
      <c r="K451" s="7">
        <v>0.95814843316763243</v>
      </c>
      <c r="L451" s="7">
        <v>0.96382699992673315</v>
      </c>
      <c r="M451" s="7">
        <v>0.92817408724784611</v>
      </c>
      <c r="N451" s="8">
        <v>20780</v>
      </c>
      <c r="O451" s="7">
        <f t="shared" si="15"/>
        <v>1.0061096120941238</v>
      </c>
    </row>
    <row r="452" spans="1:15">
      <c r="A452" s="3" t="s">
        <v>486</v>
      </c>
      <c r="B452" s="4">
        <v>45723</v>
      </c>
      <c r="C452" s="5">
        <f t="shared" si="14"/>
        <v>45717</v>
      </c>
      <c r="D452" s="3" t="s">
        <v>39</v>
      </c>
      <c r="E452" s="2" t="s">
        <v>40</v>
      </c>
      <c r="F452" s="2" t="s">
        <v>36</v>
      </c>
      <c r="G452" s="2" t="s">
        <v>37</v>
      </c>
      <c r="H452" s="3" t="s">
        <v>24</v>
      </c>
      <c r="I452" s="6">
        <v>50</v>
      </c>
      <c r="J452" s="6">
        <v>61</v>
      </c>
      <c r="K452" s="7">
        <v>0.94047157001124293</v>
      </c>
      <c r="L452" s="7">
        <v>0.95308460408405116</v>
      </c>
      <c r="M452" s="7">
        <v>0.95524424254591067</v>
      </c>
      <c r="N452" s="8">
        <v>26770</v>
      </c>
      <c r="O452" s="7">
        <f t="shared" si="15"/>
        <v>1.0491294316246007</v>
      </c>
    </row>
    <row r="453" spans="1:15">
      <c r="A453" s="3" t="s">
        <v>487</v>
      </c>
      <c r="B453" s="4">
        <v>45723</v>
      </c>
      <c r="C453" s="5">
        <f t="shared" si="14"/>
        <v>45717</v>
      </c>
      <c r="D453" s="3" t="s">
        <v>39</v>
      </c>
      <c r="E453" s="2" t="s">
        <v>40</v>
      </c>
      <c r="F453" s="2" t="s">
        <v>36</v>
      </c>
      <c r="G453" s="2" t="s">
        <v>37</v>
      </c>
      <c r="H453" s="3" t="s">
        <v>24</v>
      </c>
      <c r="I453" s="6">
        <v>39</v>
      </c>
      <c r="J453" s="6">
        <v>43</v>
      </c>
      <c r="K453" s="7">
        <v>0.93251271016707094</v>
      </c>
      <c r="L453" s="7">
        <v>1</v>
      </c>
      <c r="M453" s="7">
        <v>0.99115303909951391</v>
      </c>
      <c r="N453" s="8">
        <v>23440</v>
      </c>
      <c r="O453" s="7">
        <f t="shared" si="15"/>
        <v>1.0223844263873116</v>
      </c>
    </row>
    <row r="454" spans="1:15">
      <c r="A454" s="3" t="s">
        <v>488</v>
      </c>
      <c r="B454" s="4">
        <v>45728</v>
      </c>
      <c r="C454" s="5">
        <f t="shared" si="14"/>
        <v>45717</v>
      </c>
      <c r="D454" s="3" t="s">
        <v>16</v>
      </c>
      <c r="E454" s="2" t="s">
        <v>17</v>
      </c>
      <c r="F454" s="2" t="s">
        <v>18</v>
      </c>
      <c r="G454" s="2" t="s">
        <v>19</v>
      </c>
      <c r="H454" s="3" t="s">
        <v>20</v>
      </c>
      <c r="I454" s="6">
        <v>33</v>
      </c>
      <c r="J454" s="6">
        <v>33</v>
      </c>
      <c r="K454" s="7">
        <v>0.98564373807225758</v>
      </c>
      <c r="L454" s="7">
        <v>0.96694186550906835</v>
      </c>
      <c r="M454" s="7">
        <v>0.9589839394637677</v>
      </c>
      <c r="N454" s="8">
        <v>17310</v>
      </c>
      <c r="O454" s="7">
        <f t="shared" si="15"/>
        <v>0.98324900223717826</v>
      </c>
    </row>
    <row r="455" spans="1:15">
      <c r="A455" s="3" t="s">
        <v>489</v>
      </c>
      <c r="B455" s="4">
        <v>45729</v>
      </c>
      <c r="C455" s="5">
        <f t="shared" si="14"/>
        <v>45717</v>
      </c>
      <c r="D455" s="3" t="s">
        <v>39</v>
      </c>
      <c r="E455" s="2" t="s">
        <v>40</v>
      </c>
      <c r="F455" s="2" t="s">
        <v>36</v>
      </c>
      <c r="G455" s="2" t="s">
        <v>37</v>
      </c>
      <c r="H455" s="3" t="s">
        <v>24</v>
      </c>
      <c r="I455" s="6">
        <v>44</v>
      </c>
      <c r="J455" s="6">
        <v>48</v>
      </c>
      <c r="K455" s="7">
        <v>0.98457621010715346</v>
      </c>
      <c r="L455" s="7">
        <v>1</v>
      </c>
      <c r="M455" s="7">
        <v>0.995</v>
      </c>
      <c r="N455" s="8">
        <v>23170</v>
      </c>
      <c r="O455" s="7">
        <f t="shared" si="15"/>
        <v>1.0315076888904247</v>
      </c>
    </row>
    <row r="456" spans="1:15">
      <c r="A456" s="3" t="s">
        <v>490</v>
      </c>
      <c r="B456" s="4">
        <v>45730</v>
      </c>
      <c r="C456" s="5">
        <f t="shared" si="14"/>
        <v>45717</v>
      </c>
      <c r="D456" s="3" t="s">
        <v>16</v>
      </c>
      <c r="E456" s="2" t="s">
        <v>17</v>
      </c>
      <c r="F456" s="2" t="s">
        <v>18</v>
      </c>
      <c r="G456" s="2" t="s">
        <v>19</v>
      </c>
      <c r="H456" s="3" t="s">
        <v>20</v>
      </c>
      <c r="I456" s="6">
        <v>51</v>
      </c>
      <c r="J456" s="6">
        <v>58</v>
      </c>
      <c r="K456" s="7">
        <v>0.92870944024852742</v>
      </c>
      <c r="L456" s="7">
        <v>0.95830676515784474</v>
      </c>
      <c r="M456" s="7">
        <v>0.93768867401646083</v>
      </c>
      <c r="N456" s="8">
        <v>37140</v>
      </c>
      <c r="O456" s="7">
        <f t="shared" si="15"/>
        <v>1.0183630704234146</v>
      </c>
    </row>
    <row r="457" spans="1:15">
      <c r="A457" s="3" t="s">
        <v>491</v>
      </c>
      <c r="B457" s="4">
        <v>45730</v>
      </c>
      <c r="C457" s="5">
        <f t="shared" si="14"/>
        <v>45717</v>
      </c>
      <c r="D457" s="3" t="s">
        <v>34</v>
      </c>
      <c r="E457" s="2" t="s">
        <v>35</v>
      </c>
      <c r="F457" s="2" t="s">
        <v>36</v>
      </c>
      <c r="G457" s="2" t="s">
        <v>37</v>
      </c>
      <c r="H457" s="3" t="s">
        <v>20</v>
      </c>
      <c r="I457" s="6">
        <v>55</v>
      </c>
      <c r="J457" s="6">
        <v>49</v>
      </c>
      <c r="K457" s="7">
        <v>0.91629155972252407</v>
      </c>
      <c r="L457" s="7">
        <v>0.9405290705774485</v>
      </c>
      <c r="M457" s="7">
        <v>0.91197193995937786</v>
      </c>
      <c r="N457" s="8">
        <v>22940</v>
      </c>
      <c r="O457" s="7">
        <f t="shared" si="15"/>
        <v>0.90891027487276022</v>
      </c>
    </row>
    <row r="458" spans="1:15">
      <c r="A458" s="3" t="s">
        <v>492</v>
      </c>
      <c r="B458" s="4">
        <v>45730</v>
      </c>
      <c r="C458" s="5">
        <f t="shared" si="14"/>
        <v>45717</v>
      </c>
      <c r="D458" s="3" t="s">
        <v>34</v>
      </c>
      <c r="E458" s="2" t="s">
        <v>35</v>
      </c>
      <c r="F458" s="2" t="s">
        <v>36</v>
      </c>
      <c r="G458" s="2" t="s">
        <v>37</v>
      </c>
      <c r="H458" s="3" t="s">
        <v>20</v>
      </c>
      <c r="I458" s="6">
        <v>28</v>
      </c>
      <c r="J458" s="6">
        <v>27</v>
      </c>
      <c r="K458" s="7">
        <v>0.92000237228173076</v>
      </c>
      <c r="L458" s="7">
        <v>0.93697373491134073</v>
      </c>
      <c r="M458" s="7">
        <v>0.95997000780952635</v>
      </c>
      <c r="N458" s="8">
        <v>11090</v>
      </c>
      <c r="O458" s="7">
        <f t="shared" si="15"/>
        <v>0.94825494058332482</v>
      </c>
    </row>
    <row r="459" spans="1:15">
      <c r="A459" s="3" t="s">
        <v>493</v>
      </c>
      <c r="B459" s="4">
        <v>45730</v>
      </c>
      <c r="C459" s="5">
        <f t="shared" si="14"/>
        <v>45717</v>
      </c>
      <c r="D459" s="3" t="s">
        <v>39</v>
      </c>
      <c r="E459" s="2" t="s">
        <v>40</v>
      </c>
      <c r="F459" s="2" t="s">
        <v>36</v>
      </c>
      <c r="G459" s="2" t="s">
        <v>37</v>
      </c>
      <c r="H459" s="3" t="s">
        <v>24</v>
      </c>
      <c r="I459" s="6">
        <v>53</v>
      </c>
      <c r="J459" s="6">
        <v>54</v>
      </c>
      <c r="K459" s="7">
        <v>0.94468997322391457</v>
      </c>
      <c r="L459" s="7">
        <v>0.96102064278621069</v>
      </c>
      <c r="M459" s="7">
        <v>0.97636580151766761</v>
      </c>
      <c r="N459" s="8">
        <v>24120</v>
      </c>
      <c r="O459" s="7">
        <f t="shared" si="15"/>
        <v>0.98314591983876465</v>
      </c>
    </row>
    <row r="460" spans="1:15">
      <c r="A460" s="3" t="s">
        <v>494</v>
      </c>
      <c r="B460" s="4">
        <v>45735</v>
      </c>
      <c r="C460" s="5">
        <f t="shared" si="14"/>
        <v>45717</v>
      </c>
      <c r="D460" s="3" t="s">
        <v>43</v>
      </c>
      <c r="E460" s="2" t="s">
        <v>44</v>
      </c>
      <c r="F460" s="2" t="s">
        <v>28</v>
      </c>
      <c r="G460" s="2" t="s">
        <v>29</v>
      </c>
      <c r="H460" s="3" t="s">
        <v>45</v>
      </c>
      <c r="I460" s="6">
        <v>39</v>
      </c>
      <c r="J460" s="6">
        <v>38</v>
      </c>
      <c r="K460" s="7">
        <v>0.91693543218647555</v>
      </c>
      <c r="L460" s="7">
        <v>0.97489840663592964</v>
      </c>
      <c r="M460" s="7">
        <v>0.89215913359189014</v>
      </c>
      <c r="N460" s="8">
        <v>16970</v>
      </c>
      <c r="O460" s="7">
        <f t="shared" si="15"/>
        <v>0.94364403550397613</v>
      </c>
    </row>
    <row r="461" spans="1:15">
      <c r="A461" s="3" t="s">
        <v>495</v>
      </c>
      <c r="B461" s="4">
        <v>45737</v>
      </c>
      <c r="C461" s="5">
        <f t="shared" si="14"/>
        <v>45717</v>
      </c>
      <c r="D461" s="3" t="s">
        <v>16</v>
      </c>
      <c r="E461" s="2" t="s">
        <v>17</v>
      </c>
      <c r="F461" s="2" t="s">
        <v>18</v>
      </c>
      <c r="G461" s="2" t="s">
        <v>19</v>
      </c>
      <c r="H461" s="3" t="s">
        <v>20</v>
      </c>
      <c r="I461" s="6">
        <v>49</v>
      </c>
      <c r="J461" s="6">
        <v>56</v>
      </c>
      <c r="K461" s="7">
        <v>0.9381896801010341</v>
      </c>
      <c r="L461" s="7">
        <v>0.96891955298367383</v>
      </c>
      <c r="M461" s="7">
        <v>0.95343089699309447</v>
      </c>
      <c r="N461" s="8">
        <v>34810</v>
      </c>
      <c r="O461" s="7">
        <f t="shared" si="15"/>
        <v>1.0277143895142857</v>
      </c>
    </row>
    <row r="462" spans="1:15">
      <c r="A462" s="3" t="s">
        <v>496</v>
      </c>
      <c r="B462" s="4">
        <v>45737</v>
      </c>
      <c r="C462" s="5">
        <f t="shared" si="14"/>
        <v>45717</v>
      </c>
      <c r="D462" s="3" t="s">
        <v>26</v>
      </c>
      <c r="E462" s="2" t="s">
        <v>27</v>
      </c>
      <c r="F462" s="2" t="s">
        <v>28</v>
      </c>
      <c r="G462" s="2" t="s">
        <v>29</v>
      </c>
      <c r="H462" s="3" t="s">
        <v>20</v>
      </c>
      <c r="I462" s="6">
        <v>32</v>
      </c>
      <c r="J462" s="6">
        <v>34</v>
      </c>
      <c r="K462" s="7">
        <v>0.92046813376966752</v>
      </c>
      <c r="L462" s="7">
        <v>0.93284894434324805</v>
      </c>
      <c r="M462" s="7">
        <v>0.90502860262944429</v>
      </c>
      <c r="N462" s="8">
        <v>14640</v>
      </c>
      <c r="O462" s="7">
        <f t="shared" si="15"/>
        <v>0.97605009561979306</v>
      </c>
    </row>
    <row r="463" spans="1:15">
      <c r="A463" s="3" t="s">
        <v>497</v>
      </c>
      <c r="B463" s="4">
        <v>45737</v>
      </c>
      <c r="C463" s="5">
        <f t="shared" si="14"/>
        <v>45717</v>
      </c>
      <c r="D463" s="3" t="s">
        <v>34</v>
      </c>
      <c r="E463" s="2" t="s">
        <v>35</v>
      </c>
      <c r="F463" s="2" t="s">
        <v>36</v>
      </c>
      <c r="G463" s="2" t="s">
        <v>37</v>
      </c>
      <c r="H463" s="3" t="s">
        <v>20</v>
      </c>
      <c r="I463" s="6">
        <v>34</v>
      </c>
      <c r="J463" s="6">
        <v>38</v>
      </c>
      <c r="K463" s="7">
        <v>0.93168416837613155</v>
      </c>
      <c r="L463" s="7">
        <v>0.96700956824881368</v>
      </c>
      <c r="M463" s="7">
        <v>0.92199163767973424</v>
      </c>
      <c r="N463" s="8">
        <v>19480</v>
      </c>
      <c r="O463" s="7">
        <f t="shared" si="15"/>
        <v>1.0094296283967137</v>
      </c>
    </row>
    <row r="464" spans="1:15">
      <c r="A464" s="3" t="s">
        <v>498</v>
      </c>
      <c r="B464" s="4">
        <v>45737</v>
      </c>
      <c r="C464" s="5">
        <f t="shared" si="14"/>
        <v>45717</v>
      </c>
      <c r="D464" s="3" t="s">
        <v>34</v>
      </c>
      <c r="E464" s="2" t="s">
        <v>35</v>
      </c>
      <c r="F464" s="2" t="s">
        <v>36</v>
      </c>
      <c r="G464" s="2" t="s">
        <v>37</v>
      </c>
      <c r="H464" s="3" t="s">
        <v>20</v>
      </c>
      <c r="I464" s="6">
        <v>44</v>
      </c>
      <c r="J464" s="6">
        <v>42</v>
      </c>
      <c r="K464" s="7">
        <v>0.90851587096147868</v>
      </c>
      <c r="L464" s="7">
        <v>0.97734755191823675</v>
      </c>
      <c r="M464" s="7">
        <v>0.92323832587013099</v>
      </c>
      <c r="N464" s="8">
        <v>17950</v>
      </c>
      <c r="O464" s="7">
        <f t="shared" si="15"/>
        <v>0.94019694752031313</v>
      </c>
    </row>
    <row r="465" spans="1:15">
      <c r="A465" s="3" t="s">
        <v>499</v>
      </c>
      <c r="B465" s="4">
        <v>45737</v>
      </c>
      <c r="C465" s="5">
        <f t="shared" si="14"/>
        <v>45717</v>
      </c>
      <c r="D465" s="3" t="s">
        <v>39</v>
      </c>
      <c r="E465" s="2" t="s">
        <v>40</v>
      </c>
      <c r="F465" s="2" t="s">
        <v>36</v>
      </c>
      <c r="G465" s="2" t="s">
        <v>37</v>
      </c>
      <c r="H465" s="3" t="s">
        <v>24</v>
      </c>
      <c r="I465" s="6">
        <v>36</v>
      </c>
      <c r="J465" s="6">
        <v>37</v>
      </c>
      <c r="K465" s="7">
        <v>0.92827210024992768</v>
      </c>
      <c r="L465" s="7">
        <v>1</v>
      </c>
      <c r="M465" s="7">
        <v>0.98420081954324423</v>
      </c>
      <c r="N465" s="8">
        <v>17410</v>
      </c>
      <c r="O465" s="7">
        <f t="shared" si="15"/>
        <v>0.99001930008224193</v>
      </c>
    </row>
    <row r="466" spans="1:15">
      <c r="A466" s="3" t="s">
        <v>500</v>
      </c>
      <c r="B466" s="4">
        <v>45740</v>
      </c>
      <c r="C466" s="5">
        <f t="shared" si="14"/>
        <v>45717</v>
      </c>
      <c r="D466" s="3" t="s">
        <v>22</v>
      </c>
      <c r="E466" s="2" t="s">
        <v>23</v>
      </c>
      <c r="F466" s="2" t="s">
        <v>18</v>
      </c>
      <c r="G466" s="2" t="s">
        <v>19</v>
      </c>
      <c r="H466" s="3" t="s">
        <v>24</v>
      </c>
      <c r="I466" s="6">
        <v>29</v>
      </c>
      <c r="J466" s="6">
        <v>31</v>
      </c>
      <c r="K466" s="7">
        <v>0.93537268808621388</v>
      </c>
      <c r="L466" s="7">
        <v>0.94955165971989042</v>
      </c>
      <c r="M466" s="7">
        <v>0.92975236906150971</v>
      </c>
      <c r="N466" s="8">
        <v>19260</v>
      </c>
      <c r="O466" s="7">
        <f t="shared" si="15"/>
        <v>0.98981260168839058</v>
      </c>
    </row>
    <row r="467" spans="1:15">
      <c r="A467" s="3" t="s">
        <v>501</v>
      </c>
      <c r="B467" s="4">
        <v>45740</v>
      </c>
      <c r="C467" s="5">
        <f t="shared" si="14"/>
        <v>45717</v>
      </c>
      <c r="D467" s="3" t="s">
        <v>26</v>
      </c>
      <c r="E467" s="2" t="s">
        <v>27</v>
      </c>
      <c r="F467" s="2" t="s">
        <v>28</v>
      </c>
      <c r="G467" s="2" t="s">
        <v>29</v>
      </c>
      <c r="H467" s="3" t="s">
        <v>20</v>
      </c>
      <c r="I467" s="6">
        <v>51</v>
      </c>
      <c r="J467" s="6">
        <v>49</v>
      </c>
      <c r="K467" s="7">
        <v>0.88160592124715353</v>
      </c>
      <c r="L467" s="7">
        <v>0.93980800699915346</v>
      </c>
      <c r="M467" s="7">
        <v>0.93678729524521154</v>
      </c>
      <c r="N467" s="8">
        <v>17510</v>
      </c>
      <c r="O467" s="7">
        <f t="shared" si="15"/>
        <v>0.93304386590089983</v>
      </c>
    </row>
    <row r="468" spans="1:15">
      <c r="A468" s="3" t="s">
        <v>502</v>
      </c>
      <c r="B468" s="4">
        <v>45740</v>
      </c>
      <c r="C468" s="5">
        <f t="shared" si="14"/>
        <v>45717</v>
      </c>
      <c r="D468" s="3" t="s">
        <v>34</v>
      </c>
      <c r="E468" s="2" t="s">
        <v>35</v>
      </c>
      <c r="F468" s="2" t="s">
        <v>36</v>
      </c>
      <c r="G468" s="2" t="s">
        <v>37</v>
      </c>
      <c r="H468" s="3" t="s">
        <v>20</v>
      </c>
      <c r="I468" s="6">
        <v>53</v>
      </c>
      <c r="J468" s="6">
        <v>52</v>
      </c>
      <c r="K468" s="7">
        <v>0.96942594901772694</v>
      </c>
      <c r="L468" s="7">
        <v>0.97346918862665499</v>
      </c>
      <c r="M468" s="7">
        <v>0.89633027538584786</v>
      </c>
      <c r="N468" s="8">
        <v>23560</v>
      </c>
      <c r="O468" s="7">
        <f t="shared" si="15"/>
        <v>0.96009575081427889</v>
      </c>
    </row>
    <row r="469" spans="1:15">
      <c r="A469" s="3" t="s">
        <v>503</v>
      </c>
      <c r="B469" s="4">
        <v>45740</v>
      </c>
      <c r="C469" s="5">
        <f t="shared" si="14"/>
        <v>45717</v>
      </c>
      <c r="D469" s="3" t="s">
        <v>39</v>
      </c>
      <c r="E469" s="2" t="s">
        <v>40</v>
      </c>
      <c r="F469" s="2" t="s">
        <v>36</v>
      </c>
      <c r="G469" s="2" t="s">
        <v>37</v>
      </c>
      <c r="H469" s="3" t="s">
        <v>24</v>
      </c>
      <c r="I469" s="6">
        <v>51</v>
      </c>
      <c r="J469" s="6">
        <v>55</v>
      </c>
      <c r="K469" s="7">
        <v>0.96959583198172272</v>
      </c>
      <c r="L469" s="7">
        <v>0.94810089082339077</v>
      </c>
      <c r="M469" s="7">
        <v>0.995</v>
      </c>
      <c r="N469" s="8">
        <v>25610</v>
      </c>
      <c r="O469" s="7">
        <f t="shared" si="15"/>
        <v>1.014986640638547</v>
      </c>
    </row>
    <row r="470" spans="1:15">
      <c r="A470" s="3" t="s">
        <v>504</v>
      </c>
      <c r="B470" s="4">
        <v>45741</v>
      </c>
      <c r="C470" s="5">
        <f t="shared" si="14"/>
        <v>45717</v>
      </c>
      <c r="D470" s="3" t="s">
        <v>43</v>
      </c>
      <c r="E470" s="2" t="s">
        <v>44</v>
      </c>
      <c r="F470" s="2" t="s">
        <v>28</v>
      </c>
      <c r="G470" s="2" t="s">
        <v>29</v>
      </c>
      <c r="H470" s="3" t="s">
        <v>45</v>
      </c>
      <c r="I470" s="6">
        <v>55</v>
      </c>
      <c r="J470" s="6">
        <v>54</v>
      </c>
      <c r="K470" s="7">
        <v>0.92671037405124257</v>
      </c>
      <c r="L470" s="7">
        <v>1</v>
      </c>
      <c r="M470" s="7">
        <v>0.87807539787786526</v>
      </c>
      <c r="N470" s="8">
        <v>22290</v>
      </c>
      <c r="O470" s="7">
        <f t="shared" si="15"/>
        <v>0.95001994581565652</v>
      </c>
    </row>
    <row r="471" spans="1:15">
      <c r="A471" s="3" t="s">
        <v>505</v>
      </c>
      <c r="B471" s="4">
        <v>45742</v>
      </c>
      <c r="C471" s="5">
        <f t="shared" si="14"/>
        <v>45717</v>
      </c>
      <c r="D471" s="3" t="s">
        <v>22</v>
      </c>
      <c r="E471" s="2" t="s">
        <v>23</v>
      </c>
      <c r="F471" s="2" t="s">
        <v>18</v>
      </c>
      <c r="G471" s="2" t="s">
        <v>19</v>
      </c>
      <c r="H471" s="3" t="s">
        <v>24</v>
      </c>
      <c r="I471" s="6">
        <v>40</v>
      </c>
      <c r="J471" s="6">
        <v>40</v>
      </c>
      <c r="K471" s="7">
        <v>0.93593936255909205</v>
      </c>
      <c r="L471" s="7">
        <v>0.95386798802092487</v>
      </c>
      <c r="M471" s="7">
        <v>0.9258563240428368</v>
      </c>
      <c r="N471" s="8">
        <v>23950</v>
      </c>
      <c r="O471" s="7">
        <f t="shared" si="15"/>
        <v>0.96223630365147905</v>
      </c>
    </row>
    <row r="472" spans="1:15">
      <c r="A472" s="3" t="s">
        <v>506</v>
      </c>
      <c r="B472" s="4">
        <v>45742</v>
      </c>
      <c r="C472" s="5">
        <f t="shared" si="14"/>
        <v>45717</v>
      </c>
      <c r="D472" s="3" t="s">
        <v>43</v>
      </c>
      <c r="E472" s="2" t="s">
        <v>44</v>
      </c>
      <c r="F472" s="2" t="s">
        <v>28</v>
      </c>
      <c r="G472" s="2" t="s">
        <v>29</v>
      </c>
      <c r="H472" s="3" t="s">
        <v>45</v>
      </c>
      <c r="I472" s="6">
        <v>41</v>
      </c>
      <c r="J472" s="6">
        <v>42</v>
      </c>
      <c r="K472" s="7">
        <v>0.95398090745474173</v>
      </c>
      <c r="L472" s="7">
        <v>0.96778607749238821</v>
      </c>
      <c r="M472" s="7">
        <v>0.90548024668297034</v>
      </c>
      <c r="N472" s="8">
        <v>18760</v>
      </c>
      <c r="O472" s="7">
        <f t="shared" si="15"/>
        <v>0.97451528538511334</v>
      </c>
    </row>
    <row r="473" spans="1:15">
      <c r="A473" s="3" t="s">
        <v>507</v>
      </c>
      <c r="B473" s="4">
        <v>45742</v>
      </c>
      <c r="C473" s="5">
        <f t="shared" si="14"/>
        <v>45717</v>
      </c>
      <c r="D473" s="3" t="s">
        <v>34</v>
      </c>
      <c r="E473" s="2" t="s">
        <v>35</v>
      </c>
      <c r="F473" s="2" t="s">
        <v>36</v>
      </c>
      <c r="G473" s="2" t="s">
        <v>37</v>
      </c>
      <c r="H473" s="3" t="s">
        <v>20</v>
      </c>
      <c r="I473" s="6">
        <v>42</v>
      </c>
      <c r="J473" s="6">
        <v>42</v>
      </c>
      <c r="K473" s="7">
        <v>0.97976839837065921</v>
      </c>
      <c r="L473" s="7">
        <v>0.95052408357054419</v>
      </c>
      <c r="M473" s="7">
        <v>0.93392883066732901</v>
      </c>
      <c r="N473" s="8">
        <v>20540</v>
      </c>
      <c r="O473" s="7">
        <f t="shared" si="15"/>
        <v>0.97430647826171213</v>
      </c>
    </row>
    <row r="474" spans="1:15">
      <c r="A474" s="3" t="s">
        <v>508</v>
      </c>
      <c r="B474" s="4">
        <v>45742</v>
      </c>
      <c r="C474" s="5">
        <f t="shared" si="14"/>
        <v>45717</v>
      </c>
      <c r="D474" s="3" t="s">
        <v>39</v>
      </c>
      <c r="E474" s="2" t="s">
        <v>40</v>
      </c>
      <c r="F474" s="2" t="s">
        <v>36</v>
      </c>
      <c r="G474" s="2" t="s">
        <v>37</v>
      </c>
      <c r="H474" s="3" t="s">
        <v>24</v>
      </c>
      <c r="I474" s="6">
        <v>30</v>
      </c>
      <c r="J474" s="6">
        <v>30</v>
      </c>
      <c r="K474" s="7">
        <v>0.96916578752544102</v>
      </c>
      <c r="L474" s="7">
        <v>0.98691199576536137</v>
      </c>
      <c r="M474" s="7">
        <v>0.9353949090276783</v>
      </c>
      <c r="N474" s="8">
        <v>13970</v>
      </c>
      <c r="O474" s="7">
        <f t="shared" si="15"/>
        <v>0.97740722805170011</v>
      </c>
    </row>
    <row r="475" spans="1:15">
      <c r="A475" s="3" t="s">
        <v>509</v>
      </c>
      <c r="B475" s="4">
        <v>45744</v>
      </c>
      <c r="C475" s="5">
        <f t="shared" si="14"/>
        <v>45717</v>
      </c>
      <c r="D475" s="3" t="s">
        <v>16</v>
      </c>
      <c r="E475" s="2" t="s">
        <v>17</v>
      </c>
      <c r="F475" s="2" t="s">
        <v>18</v>
      </c>
      <c r="G475" s="2" t="s">
        <v>19</v>
      </c>
      <c r="H475" s="3" t="s">
        <v>20</v>
      </c>
      <c r="I475" s="6">
        <v>36</v>
      </c>
      <c r="J475" s="6">
        <v>41</v>
      </c>
      <c r="K475" s="7">
        <v>0.9724678917604147</v>
      </c>
      <c r="L475" s="7">
        <v>0.95613026042404314</v>
      </c>
      <c r="M475" s="7">
        <v>0.90646605178876516</v>
      </c>
      <c r="N475" s="8">
        <v>21120</v>
      </c>
      <c r="O475" s="7">
        <f t="shared" si="15"/>
        <v>1.0233852779170187</v>
      </c>
    </row>
    <row r="476" spans="1:15">
      <c r="A476" s="3" t="s">
        <v>510</v>
      </c>
      <c r="B476" s="4">
        <v>45744</v>
      </c>
      <c r="C476" s="5">
        <f t="shared" si="14"/>
        <v>45717</v>
      </c>
      <c r="D476" s="3" t="s">
        <v>22</v>
      </c>
      <c r="E476" s="2" t="s">
        <v>23</v>
      </c>
      <c r="F476" s="2" t="s">
        <v>18</v>
      </c>
      <c r="G476" s="2" t="s">
        <v>19</v>
      </c>
      <c r="H476" s="3" t="s">
        <v>24</v>
      </c>
      <c r="I476" s="6">
        <v>52</v>
      </c>
      <c r="J476" s="6">
        <v>55</v>
      </c>
      <c r="K476" s="7">
        <v>0.90471954240510399</v>
      </c>
      <c r="L476" s="7">
        <v>0.93753964168264348</v>
      </c>
      <c r="M476" s="7">
        <v>0.96942131717187718</v>
      </c>
      <c r="N476" s="8">
        <v>27880</v>
      </c>
      <c r="O476" s="7">
        <f t="shared" si="15"/>
        <v>0.98377201836497108</v>
      </c>
    </row>
    <row r="477" spans="1:15">
      <c r="A477" s="3" t="s">
        <v>511</v>
      </c>
      <c r="B477" s="4">
        <v>45744</v>
      </c>
      <c r="C477" s="5">
        <f t="shared" si="14"/>
        <v>45717</v>
      </c>
      <c r="D477" s="3" t="s">
        <v>22</v>
      </c>
      <c r="E477" s="2" t="s">
        <v>23</v>
      </c>
      <c r="F477" s="2" t="s">
        <v>18</v>
      </c>
      <c r="G477" s="2" t="s">
        <v>19</v>
      </c>
      <c r="H477" s="3" t="s">
        <v>24</v>
      </c>
      <c r="I477" s="6">
        <v>51</v>
      </c>
      <c r="J477" s="6">
        <v>50</v>
      </c>
      <c r="K477" s="7">
        <v>0.90594799338711274</v>
      </c>
      <c r="L477" s="7">
        <v>0.99366705117691057</v>
      </c>
      <c r="M477" s="7">
        <v>0.97108532268628911</v>
      </c>
      <c r="N477" s="8">
        <v>25680</v>
      </c>
      <c r="O477" s="7">
        <f t="shared" si="15"/>
        <v>0.9619109833056706</v>
      </c>
    </row>
    <row r="478" spans="1:15">
      <c r="A478" s="3" t="s">
        <v>512</v>
      </c>
      <c r="B478" s="4">
        <v>45744</v>
      </c>
      <c r="C478" s="5">
        <f t="shared" si="14"/>
        <v>45717</v>
      </c>
      <c r="D478" s="3" t="s">
        <v>26</v>
      </c>
      <c r="E478" s="2" t="s">
        <v>27</v>
      </c>
      <c r="F478" s="2" t="s">
        <v>28</v>
      </c>
      <c r="G478" s="2" t="s">
        <v>29</v>
      </c>
      <c r="H478" s="3" t="s">
        <v>20</v>
      </c>
      <c r="I478" s="6">
        <v>31</v>
      </c>
      <c r="J478" s="6">
        <v>29</v>
      </c>
      <c r="K478" s="7">
        <v>0.86635344177661311</v>
      </c>
      <c r="L478" s="7">
        <v>0.91156026884097463</v>
      </c>
      <c r="M478" s="7">
        <v>0.89405413149990598</v>
      </c>
      <c r="N478" s="8">
        <v>11360</v>
      </c>
      <c r="O478" s="7">
        <f t="shared" si="15"/>
        <v>0.9063267754573775</v>
      </c>
    </row>
    <row r="479" spans="1:15">
      <c r="A479" s="3" t="s">
        <v>513</v>
      </c>
      <c r="B479" s="4">
        <v>45744</v>
      </c>
      <c r="C479" s="5">
        <f t="shared" si="14"/>
        <v>45717</v>
      </c>
      <c r="D479" s="3" t="s">
        <v>43</v>
      </c>
      <c r="E479" s="2" t="s">
        <v>44</v>
      </c>
      <c r="F479" s="2" t="s">
        <v>28</v>
      </c>
      <c r="G479" s="2" t="s">
        <v>29</v>
      </c>
      <c r="H479" s="3" t="s">
        <v>45</v>
      </c>
      <c r="I479" s="6">
        <v>51</v>
      </c>
      <c r="J479" s="6">
        <v>62</v>
      </c>
      <c r="K479" s="7">
        <v>0.93090603926748727</v>
      </c>
      <c r="L479" s="7">
        <v>0.99315043636371192</v>
      </c>
      <c r="M479" s="7">
        <v>0.91120519869359695</v>
      </c>
      <c r="N479" s="8">
        <v>28040</v>
      </c>
      <c r="O479" s="7">
        <f t="shared" si="15"/>
        <v>1.0439401150101482</v>
      </c>
    </row>
    <row r="480" spans="1:15">
      <c r="A480" s="3" t="s">
        <v>514</v>
      </c>
      <c r="B480" s="4">
        <v>45748</v>
      </c>
      <c r="C480" s="5">
        <f t="shared" si="14"/>
        <v>45748</v>
      </c>
      <c r="D480" s="3" t="s">
        <v>16</v>
      </c>
      <c r="E480" s="2" t="s">
        <v>17</v>
      </c>
      <c r="F480" s="2" t="s">
        <v>18</v>
      </c>
      <c r="G480" s="2" t="s">
        <v>19</v>
      </c>
      <c r="H480" s="3" t="s">
        <v>20</v>
      </c>
      <c r="I480" s="6">
        <v>43</v>
      </c>
      <c r="J480" s="6">
        <v>52</v>
      </c>
      <c r="K480" s="7">
        <v>0.95688469693806244</v>
      </c>
      <c r="L480" s="7">
        <v>0.97764053106849136</v>
      </c>
      <c r="M480" s="7">
        <v>0.96033725925227109</v>
      </c>
      <c r="N480" s="8">
        <v>33570</v>
      </c>
      <c r="O480" s="7">
        <f t="shared" si="15"/>
        <v>1.0579347057452435</v>
      </c>
    </row>
    <row r="481" spans="1:15">
      <c r="A481" s="3" t="s">
        <v>515</v>
      </c>
      <c r="B481" s="4">
        <v>45748</v>
      </c>
      <c r="C481" s="5">
        <f t="shared" si="14"/>
        <v>45748</v>
      </c>
      <c r="D481" s="3" t="s">
        <v>39</v>
      </c>
      <c r="E481" s="2" t="s">
        <v>40</v>
      </c>
      <c r="F481" s="2" t="s">
        <v>36</v>
      </c>
      <c r="G481" s="2" t="s">
        <v>37</v>
      </c>
      <c r="H481" s="3" t="s">
        <v>24</v>
      </c>
      <c r="I481" s="6">
        <v>39</v>
      </c>
      <c r="J481" s="6">
        <v>40</v>
      </c>
      <c r="K481" s="7">
        <v>0.98952223731761157</v>
      </c>
      <c r="L481" s="7">
        <v>0.9619938383866794</v>
      </c>
      <c r="M481" s="7">
        <v>0.95319320776040339</v>
      </c>
      <c r="N481" s="8">
        <v>18640</v>
      </c>
      <c r="O481" s="7">
        <f t="shared" si="15"/>
        <v>0.99257468689589567</v>
      </c>
    </row>
    <row r="482" spans="1:15">
      <c r="A482" s="3" t="s">
        <v>516</v>
      </c>
      <c r="B482" s="4">
        <v>45749</v>
      </c>
      <c r="C482" s="5">
        <f t="shared" si="14"/>
        <v>45748</v>
      </c>
      <c r="D482" s="3" t="s">
        <v>22</v>
      </c>
      <c r="E482" s="2" t="s">
        <v>23</v>
      </c>
      <c r="F482" s="2" t="s">
        <v>18</v>
      </c>
      <c r="G482" s="2" t="s">
        <v>19</v>
      </c>
      <c r="H482" s="3" t="s">
        <v>24</v>
      </c>
      <c r="I482" s="6">
        <v>47</v>
      </c>
      <c r="J482" s="6">
        <v>45</v>
      </c>
      <c r="K482" s="7">
        <v>0.8776018883834007</v>
      </c>
      <c r="L482" s="7">
        <v>0.96017911910775378</v>
      </c>
      <c r="M482" s="7">
        <v>0.95811757686198695</v>
      </c>
      <c r="N482" s="8">
        <v>24390</v>
      </c>
      <c r="O482" s="7">
        <f t="shared" si="15"/>
        <v>0.93802957873866599</v>
      </c>
    </row>
    <row r="483" spans="1:15">
      <c r="A483" s="3" t="s">
        <v>517</v>
      </c>
      <c r="B483" s="4">
        <v>45750</v>
      </c>
      <c r="C483" s="5">
        <f t="shared" si="14"/>
        <v>45748</v>
      </c>
      <c r="D483" s="3" t="s">
        <v>43</v>
      </c>
      <c r="E483" s="2" t="s">
        <v>44</v>
      </c>
      <c r="F483" s="2" t="s">
        <v>28</v>
      </c>
      <c r="G483" s="2" t="s">
        <v>29</v>
      </c>
      <c r="H483" s="3" t="s">
        <v>45</v>
      </c>
      <c r="I483" s="6">
        <v>40</v>
      </c>
      <c r="J483" s="6">
        <v>44</v>
      </c>
      <c r="K483" s="7">
        <v>0.95236170811676191</v>
      </c>
      <c r="L483" s="7">
        <v>0.97929843562529495</v>
      </c>
      <c r="M483" s="7">
        <v>0.92478094276424161</v>
      </c>
      <c r="N483" s="8">
        <v>16770</v>
      </c>
      <c r="O483" s="7">
        <f t="shared" si="15"/>
        <v>1.0099413809258331</v>
      </c>
    </row>
    <row r="484" spans="1:15">
      <c r="A484" s="3" t="s">
        <v>518</v>
      </c>
      <c r="B484" s="4">
        <v>45751</v>
      </c>
      <c r="C484" s="5">
        <f t="shared" si="14"/>
        <v>45748</v>
      </c>
      <c r="D484" s="3" t="s">
        <v>16</v>
      </c>
      <c r="E484" s="2" t="s">
        <v>17</v>
      </c>
      <c r="F484" s="2" t="s">
        <v>18</v>
      </c>
      <c r="G484" s="2" t="s">
        <v>19</v>
      </c>
      <c r="H484" s="3" t="s">
        <v>20</v>
      </c>
      <c r="I484" s="6">
        <v>52</v>
      </c>
      <c r="J484" s="6">
        <v>51</v>
      </c>
      <c r="K484" s="7">
        <v>0.92796732166145324</v>
      </c>
      <c r="L484" s="7">
        <v>0.95231642193277877</v>
      </c>
      <c r="M484" s="7">
        <v>0.90405438150416517</v>
      </c>
      <c r="N484" s="8">
        <v>26420</v>
      </c>
      <c r="O484" s="7">
        <f t="shared" si="15"/>
        <v>0.94795786231380552</v>
      </c>
    </row>
    <row r="485" spans="1:15">
      <c r="A485" s="3" t="s">
        <v>519</v>
      </c>
      <c r="B485" s="4">
        <v>45751</v>
      </c>
      <c r="C485" s="5">
        <f t="shared" si="14"/>
        <v>45748</v>
      </c>
      <c r="D485" s="3" t="s">
        <v>34</v>
      </c>
      <c r="E485" s="2" t="s">
        <v>35</v>
      </c>
      <c r="F485" s="2" t="s">
        <v>36</v>
      </c>
      <c r="G485" s="2" t="s">
        <v>37</v>
      </c>
      <c r="H485" s="3" t="s">
        <v>20</v>
      </c>
      <c r="I485" s="6">
        <v>35</v>
      </c>
      <c r="J485" s="6">
        <v>33</v>
      </c>
      <c r="K485" s="7">
        <v>0.92779602248989124</v>
      </c>
      <c r="L485" s="7">
        <v>0.96729266058234376</v>
      </c>
      <c r="M485" s="7">
        <v>0.91165770833542836</v>
      </c>
      <c r="N485" s="8">
        <v>16600</v>
      </c>
      <c r="O485" s="7">
        <f t="shared" si="15"/>
        <v>0.93651730351976725</v>
      </c>
    </row>
    <row r="486" spans="1:15">
      <c r="A486" s="3" t="s">
        <v>520</v>
      </c>
      <c r="B486" s="4">
        <v>45754</v>
      </c>
      <c r="C486" s="5">
        <f t="shared" si="14"/>
        <v>45748</v>
      </c>
      <c r="D486" s="3" t="s">
        <v>16</v>
      </c>
      <c r="E486" s="2" t="s">
        <v>17</v>
      </c>
      <c r="F486" s="2" t="s">
        <v>18</v>
      </c>
      <c r="G486" s="2" t="s">
        <v>19</v>
      </c>
      <c r="H486" s="3" t="s">
        <v>20</v>
      </c>
      <c r="I486" s="6">
        <v>33</v>
      </c>
      <c r="J486" s="6">
        <v>39</v>
      </c>
      <c r="K486" s="7">
        <v>0.9262437029980416</v>
      </c>
      <c r="L486" s="7">
        <v>0.99320385558807001</v>
      </c>
      <c r="M486" s="7">
        <v>0.95141656893184168</v>
      </c>
      <c r="N486" s="8">
        <v>24470</v>
      </c>
      <c r="O486" s="7">
        <f t="shared" si="15"/>
        <v>1.043552090601362</v>
      </c>
    </row>
    <row r="487" spans="1:15">
      <c r="A487" s="3" t="s">
        <v>521</v>
      </c>
      <c r="B487" s="4">
        <v>45754</v>
      </c>
      <c r="C487" s="5">
        <f t="shared" si="14"/>
        <v>45748</v>
      </c>
      <c r="D487" s="3" t="s">
        <v>22</v>
      </c>
      <c r="E487" s="2" t="s">
        <v>23</v>
      </c>
      <c r="F487" s="2" t="s">
        <v>18</v>
      </c>
      <c r="G487" s="2" t="s">
        <v>19</v>
      </c>
      <c r="H487" s="3" t="s">
        <v>24</v>
      </c>
      <c r="I487" s="6">
        <v>30</v>
      </c>
      <c r="J487" s="6">
        <v>31</v>
      </c>
      <c r="K487" s="7">
        <v>0.91616533966334435</v>
      </c>
      <c r="L487" s="7">
        <v>0.97389244131393926</v>
      </c>
      <c r="M487" s="7">
        <v>0.95264291141024326</v>
      </c>
      <c r="N487" s="8">
        <v>15360</v>
      </c>
      <c r="O487" s="7">
        <f t="shared" si="15"/>
        <v>0.97898711672830907</v>
      </c>
    </row>
    <row r="488" spans="1:15">
      <c r="A488" s="3" t="s">
        <v>522</v>
      </c>
      <c r="B488" s="4">
        <v>45754</v>
      </c>
      <c r="C488" s="5">
        <f t="shared" si="14"/>
        <v>45748</v>
      </c>
      <c r="D488" s="3" t="s">
        <v>34</v>
      </c>
      <c r="E488" s="2" t="s">
        <v>35</v>
      </c>
      <c r="F488" s="2" t="s">
        <v>36</v>
      </c>
      <c r="G488" s="2" t="s">
        <v>37</v>
      </c>
      <c r="H488" s="3" t="s">
        <v>20</v>
      </c>
      <c r="I488" s="6">
        <v>44</v>
      </c>
      <c r="J488" s="6">
        <v>45</v>
      </c>
      <c r="K488" s="7">
        <v>0.96637048425786343</v>
      </c>
      <c r="L488" s="7">
        <v>0.95438720577243374</v>
      </c>
      <c r="M488" s="7">
        <v>0.8815207881323448</v>
      </c>
      <c r="N488" s="8">
        <v>21760</v>
      </c>
      <c r="O488" s="7">
        <f t="shared" si="15"/>
        <v>0.97014576864770907</v>
      </c>
    </row>
    <row r="489" spans="1:15">
      <c r="A489" s="3" t="s">
        <v>523</v>
      </c>
      <c r="B489" s="4">
        <v>45756</v>
      </c>
      <c r="C489" s="5">
        <f t="shared" si="14"/>
        <v>45748</v>
      </c>
      <c r="D489" s="3" t="s">
        <v>43</v>
      </c>
      <c r="E489" s="2" t="s">
        <v>44</v>
      </c>
      <c r="F489" s="2" t="s">
        <v>28</v>
      </c>
      <c r="G489" s="2" t="s">
        <v>29</v>
      </c>
      <c r="H489" s="3" t="s">
        <v>45</v>
      </c>
      <c r="I489" s="6">
        <v>43</v>
      </c>
      <c r="J489" s="6">
        <v>50</v>
      </c>
      <c r="K489" s="7">
        <v>0.9577512415305014</v>
      </c>
      <c r="L489" s="7">
        <v>0.96808669519932122</v>
      </c>
      <c r="M489" s="7">
        <v>0.94413338822631099</v>
      </c>
      <c r="N489" s="8">
        <v>19270</v>
      </c>
      <c r="O489" s="7">
        <f t="shared" si="15"/>
        <v>1.0385937713775533</v>
      </c>
    </row>
    <row r="490" spans="1:15">
      <c r="A490" s="3" t="s">
        <v>524</v>
      </c>
      <c r="B490" s="4">
        <v>45757</v>
      </c>
      <c r="C490" s="5">
        <f t="shared" si="14"/>
        <v>45748</v>
      </c>
      <c r="D490" s="3" t="s">
        <v>22</v>
      </c>
      <c r="E490" s="2" t="s">
        <v>23</v>
      </c>
      <c r="F490" s="2" t="s">
        <v>18</v>
      </c>
      <c r="G490" s="2" t="s">
        <v>19</v>
      </c>
      <c r="H490" s="3" t="s">
        <v>24</v>
      </c>
      <c r="I490" s="6">
        <v>33</v>
      </c>
      <c r="J490" s="6">
        <v>33</v>
      </c>
      <c r="K490" s="7">
        <v>0.93119358542604413</v>
      </c>
      <c r="L490" s="7">
        <v>0.95520261304975562</v>
      </c>
      <c r="M490" s="7">
        <v>0.91250570221933869</v>
      </c>
      <c r="N490" s="8">
        <v>20610</v>
      </c>
      <c r="O490" s="7">
        <f t="shared" si="15"/>
        <v>0.95857992875784215</v>
      </c>
    </row>
    <row r="491" spans="1:15">
      <c r="A491" s="3" t="s">
        <v>525</v>
      </c>
      <c r="B491" s="4">
        <v>45758</v>
      </c>
      <c r="C491" s="5">
        <f t="shared" si="14"/>
        <v>45748</v>
      </c>
      <c r="D491" s="3" t="s">
        <v>16</v>
      </c>
      <c r="E491" s="2" t="s">
        <v>17</v>
      </c>
      <c r="F491" s="2" t="s">
        <v>18</v>
      </c>
      <c r="G491" s="2" t="s">
        <v>19</v>
      </c>
      <c r="H491" s="3" t="s">
        <v>20</v>
      </c>
      <c r="I491" s="6">
        <v>54</v>
      </c>
      <c r="J491" s="6">
        <v>66</v>
      </c>
      <c r="K491" s="7">
        <v>0.90678513206476308</v>
      </c>
      <c r="L491" s="7">
        <v>0.97060113770169198</v>
      </c>
      <c r="M491" s="7">
        <v>0.96353546788784117</v>
      </c>
      <c r="N491" s="8">
        <v>42720</v>
      </c>
      <c r="O491" s="7">
        <f t="shared" si="15"/>
        <v>1.0449935472490128</v>
      </c>
    </row>
    <row r="492" spans="1:15">
      <c r="A492" s="3" t="s">
        <v>526</v>
      </c>
      <c r="B492" s="4">
        <v>45758</v>
      </c>
      <c r="C492" s="5">
        <f t="shared" si="14"/>
        <v>45748</v>
      </c>
      <c r="D492" s="3" t="s">
        <v>43</v>
      </c>
      <c r="E492" s="2" t="s">
        <v>44</v>
      </c>
      <c r="F492" s="2" t="s">
        <v>28</v>
      </c>
      <c r="G492" s="2" t="s">
        <v>29</v>
      </c>
      <c r="H492" s="3" t="s">
        <v>45</v>
      </c>
      <c r="I492" s="6">
        <v>28</v>
      </c>
      <c r="J492" s="6">
        <v>32</v>
      </c>
      <c r="K492" s="7">
        <v>0.95104056182976593</v>
      </c>
      <c r="L492" s="7">
        <v>1</v>
      </c>
      <c r="M492" s="7">
        <v>0.91839932468325924</v>
      </c>
      <c r="N492" s="8">
        <v>14880</v>
      </c>
      <c r="O492" s="7">
        <f t="shared" si="15"/>
        <v>1.0285828625369504</v>
      </c>
    </row>
    <row r="493" spans="1:15">
      <c r="A493" s="3" t="s">
        <v>527</v>
      </c>
      <c r="B493" s="4">
        <v>45758</v>
      </c>
      <c r="C493" s="5">
        <f t="shared" si="14"/>
        <v>45748</v>
      </c>
      <c r="D493" s="3" t="s">
        <v>43</v>
      </c>
      <c r="E493" s="2" t="s">
        <v>44</v>
      </c>
      <c r="F493" s="2" t="s">
        <v>28</v>
      </c>
      <c r="G493" s="2" t="s">
        <v>29</v>
      </c>
      <c r="H493" s="3" t="s">
        <v>45</v>
      </c>
      <c r="I493" s="6">
        <v>51</v>
      </c>
      <c r="J493" s="6">
        <v>50</v>
      </c>
      <c r="K493" s="7">
        <v>0.94852137432575967</v>
      </c>
      <c r="L493" s="7">
        <v>0.95492113910961129</v>
      </c>
      <c r="M493" s="7">
        <v>0.93665483081766887</v>
      </c>
      <c r="N493" s="8">
        <v>19040</v>
      </c>
      <c r="O493" s="7">
        <f t="shared" si="15"/>
        <v>0.95985634335651349</v>
      </c>
    </row>
    <row r="494" spans="1:15">
      <c r="A494" s="3" t="s">
        <v>528</v>
      </c>
      <c r="B494" s="4">
        <v>45758</v>
      </c>
      <c r="C494" s="5">
        <f t="shared" si="14"/>
        <v>45748</v>
      </c>
      <c r="D494" s="3" t="s">
        <v>43</v>
      </c>
      <c r="E494" s="2" t="s">
        <v>44</v>
      </c>
      <c r="F494" s="2" t="s">
        <v>28</v>
      </c>
      <c r="G494" s="2" t="s">
        <v>29</v>
      </c>
      <c r="H494" s="3" t="s">
        <v>45</v>
      </c>
      <c r="I494" s="6">
        <v>37</v>
      </c>
      <c r="J494" s="6">
        <v>40</v>
      </c>
      <c r="K494" s="7">
        <v>0.96037698736260968</v>
      </c>
      <c r="L494" s="7">
        <v>0.99416857634587352</v>
      </c>
      <c r="M494" s="7">
        <v>0.8693033528715014</v>
      </c>
      <c r="N494" s="8">
        <v>18480</v>
      </c>
      <c r="O494" s="7">
        <f t="shared" si="15"/>
        <v>0.99551263629926623</v>
      </c>
    </row>
    <row r="495" spans="1:15">
      <c r="A495" s="3" t="s">
        <v>529</v>
      </c>
      <c r="B495" s="4">
        <v>45758</v>
      </c>
      <c r="C495" s="5">
        <f t="shared" si="14"/>
        <v>45748</v>
      </c>
      <c r="D495" s="3" t="s">
        <v>39</v>
      </c>
      <c r="E495" s="2" t="s">
        <v>40</v>
      </c>
      <c r="F495" s="2" t="s">
        <v>36</v>
      </c>
      <c r="G495" s="2" t="s">
        <v>37</v>
      </c>
      <c r="H495" s="3" t="s">
        <v>24</v>
      </c>
      <c r="I495" s="6">
        <v>45</v>
      </c>
      <c r="J495" s="6">
        <v>51</v>
      </c>
      <c r="K495" s="7">
        <v>0.96006842792844127</v>
      </c>
      <c r="L495" s="7">
        <v>0.98036212157342184</v>
      </c>
      <c r="M495" s="7">
        <v>0.995</v>
      </c>
      <c r="N495" s="8">
        <v>23610</v>
      </c>
      <c r="O495" s="7">
        <f t="shared" si="15"/>
        <v>1.039404758551457</v>
      </c>
    </row>
    <row r="496" spans="1:15">
      <c r="A496" s="3" t="s">
        <v>530</v>
      </c>
      <c r="B496" s="4">
        <v>45761</v>
      </c>
      <c r="C496" s="5">
        <f t="shared" si="14"/>
        <v>45748</v>
      </c>
      <c r="D496" s="3" t="s">
        <v>16</v>
      </c>
      <c r="E496" s="2" t="s">
        <v>17</v>
      </c>
      <c r="F496" s="2" t="s">
        <v>18</v>
      </c>
      <c r="G496" s="2" t="s">
        <v>19</v>
      </c>
      <c r="H496" s="3" t="s">
        <v>20</v>
      </c>
      <c r="I496" s="6">
        <v>55</v>
      </c>
      <c r="J496" s="6">
        <v>67</v>
      </c>
      <c r="K496" s="7">
        <v>0.9454224257799051</v>
      </c>
      <c r="L496" s="7">
        <v>0.94323251689878007</v>
      </c>
      <c r="M496" s="7">
        <v>0.90536888663490456</v>
      </c>
      <c r="N496" s="8">
        <v>34620</v>
      </c>
      <c r="O496" s="7">
        <f t="shared" si="15"/>
        <v>1.0389142613067741</v>
      </c>
    </row>
    <row r="497" spans="1:15">
      <c r="A497" s="3" t="s">
        <v>531</v>
      </c>
      <c r="B497" s="4">
        <v>45761</v>
      </c>
      <c r="C497" s="5">
        <f t="shared" si="14"/>
        <v>45748</v>
      </c>
      <c r="D497" s="3" t="s">
        <v>43</v>
      </c>
      <c r="E497" s="2" t="s">
        <v>44</v>
      </c>
      <c r="F497" s="2" t="s">
        <v>28</v>
      </c>
      <c r="G497" s="2" t="s">
        <v>29</v>
      </c>
      <c r="H497" s="3" t="s">
        <v>45</v>
      </c>
      <c r="I497" s="6">
        <v>41</v>
      </c>
      <c r="J497" s="6">
        <v>45</v>
      </c>
      <c r="K497" s="7">
        <v>0.97259427594683345</v>
      </c>
      <c r="L497" s="7">
        <v>0.99851153992281494</v>
      </c>
      <c r="M497" s="7">
        <v>0.89595333392772503</v>
      </c>
      <c r="N497" s="8">
        <v>20510</v>
      </c>
      <c r="O497" s="7">
        <f t="shared" si="15"/>
        <v>1.011140357004578</v>
      </c>
    </row>
    <row r="498" spans="1:15">
      <c r="A498" s="3" t="s">
        <v>532</v>
      </c>
      <c r="B498" s="4">
        <v>45761</v>
      </c>
      <c r="C498" s="5">
        <f t="shared" si="14"/>
        <v>45748</v>
      </c>
      <c r="D498" s="3" t="s">
        <v>34</v>
      </c>
      <c r="E498" s="2" t="s">
        <v>35</v>
      </c>
      <c r="F498" s="2" t="s">
        <v>36</v>
      </c>
      <c r="G498" s="2" t="s">
        <v>37</v>
      </c>
      <c r="H498" s="3" t="s">
        <v>20</v>
      </c>
      <c r="I498" s="6">
        <v>38</v>
      </c>
      <c r="J498" s="6">
        <v>43</v>
      </c>
      <c r="K498" s="7">
        <v>0.98745194916071444</v>
      </c>
      <c r="L498" s="7">
        <v>0.93947367785673075</v>
      </c>
      <c r="M498" s="7">
        <v>0.93081399342729876</v>
      </c>
      <c r="N498" s="8">
        <v>20790</v>
      </c>
      <c r="O498" s="7">
        <f t="shared" si="15"/>
        <v>1.0265784166015164</v>
      </c>
    </row>
    <row r="499" spans="1:15">
      <c r="A499" s="3" t="s">
        <v>533</v>
      </c>
      <c r="B499" s="4">
        <v>45764</v>
      </c>
      <c r="C499" s="5">
        <f t="shared" si="14"/>
        <v>45748</v>
      </c>
      <c r="D499" s="3" t="s">
        <v>43</v>
      </c>
      <c r="E499" s="2" t="s">
        <v>44</v>
      </c>
      <c r="F499" s="2" t="s">
        <v>28</v>
      </c>
      <c r="G499" s="2" t="s">
        <v>29</v>
      </c>
      <c r="H499" s="3" t="s">
        <v>45</v>
      </c>
      <c r="I499" s="6">
        <v>48</v>
      </c>
      <c r="J499" s="6">
        <v>49</v>
      </c>
      <c r="K499" s="7">
        <v>0.94606461117559471</v>
      </c>
      <c r="L499" s="7">
        <v>0.98746198053613066</v>
      </c>
      <c r="M499" s="7">
        <v>0.92504220497399481</v>
      </c>
      <c r="N499" s="8">
        <v>21910</v>
      </c>
      <c r="O499" s="7">
        <f t="shared" si="15"/>
        <v>0.97797722420245059</v>
      </c>
    </row>
    <row r="500" spans="1:15">
      <c r="A500" s="3" t="s">
        <v>534</v>
      </c>
      <c r="B500" s="4">
        <v>45765</v>
      </c>
      <c r="C500" s="5">
        <f t="shared" si="14"/>
        <v>45748</v>
      </c>
      <c r="D500" s="3" t="s">
        <v>16</v>
      </c>
      <c r="E500" s="2" t="s">
        <v>17</v>
      </c>
      <c r="F500" s="2" t="s">
        <v>18</v>
      </c>
      <c r="G500" s="2" t="s">
        <v>19</v>
      </c>
      <c r="H500" s="3" t="s">
        <v>20</v>
      </c>
      <c r="I500" s="6">
        <v>52</v>
      </c>
      <c r="J500" s="6">
        <v>56</v>
      </c>
      <c r="K500" s="7">
        <v>0.93024394730659876</v>
      </c>
      <c r="L500" s="7">
        <v>0.97831678293558111</v>
      </c>
      <c r="M500" s="7">
        <v>0.9343210983764304</v>
      </c>
      <c r="N500" s="8">
        <v>29200</v>
      </c>
      <c r="O500" s="7">
        <f t="shared" si="15"/>
        <v>0.99694195471150371</v>
      </c>
    </row>
    <row r="501" spans="1:15">
      <c r="A501" s="3" t="s">
        <v>535</v>
      </c>
      <c r="B501" s="4">
        <v>45765</v>
      </c>
      <c r="C501" s="5">
        <f t="shared" si="14"/>
        <v>45748</v>
      </c>
      <c r="D501" s="3" t="s">
        <v>43</v>
      </c>
      <c r="E501" s="2" t="s">
        <v>44</v>
      </c>
      <c r="F501" s="2" t="s">
        <v>28</v>
      </c>
      <c r="G501" s="2" t="s">
        <v>29</v>
      </c>
      <c r="H501" s="3" t="s">
        <v>45</v>
      </c>
      <c r="I501" s="6">
        <v>38</v>
      </c>
      <c r="J501" s="6">
        <v>36</v>
      </c>
      <c r="K501" s="7">
        <v>0.93667208234109678</v>
      </c>
      <c r="L501" s="7">
        <v>1</v>
      </c>
      <c r="M501" s="7">
        <v>0.98032793064670665</v>
      </c>
      <c r="N501" s="8">
        <v>13430</v>
      </c>
      <c r="O501" s="7">
        <f t="shared" si="15"/>
        <v>0.95918097513566813</v>
      </c>
    </row>
    <row r="502" spans="1:15">
      <c r="A502" s="3" t="s">
        <v>536</v>
      </c>
      <c r="B502" s="4">
        <v>45765</v>
      </c>
      <c r="C502" s="5">
        <f t="shared" si="14"/>
        <v>45748</v>
      </c>
      <c r="D502" s="3" t="s">
        <v>34</v>
      </c>
      <c r="E502" s="2" t="s">
        <v>35</v>
      </c>
      <c r="F502" s="2" t="s">
        <v>36</v>
      </c>
      <c r="G502" s="2" t="s">
        <v>37</v>
      </c>
      <c r="H502" s="3" t="s">
        <v>20</v>
      </c>
      <c r="I502" s="6">
        <v>49</v>
      </c>
      <c r="J502" s="6">
        <v>49</v>
      </c>
      <c r="K502" s="7">
        <v>0.9066595269499711</v>
      </c>
      <c r="L502" s="7">
        <v>0.95056168059254631</v>
      </c>
      <c r="M502" s="7">
        <v>0.95341639513139331</v>
      </c>
      <c r="N502" s="8">
        <v>22340</v>
      </c>
      <c r="O502" s="7">
        <f t="shared" si="15"/>
        <v>0.95993241285265341</v>
      </c>
    </row>
    <row r="503" spans="1:15">
      <c r="A503" s="3" t="s">
        <v>537</v>
      </c>
      <c r="B503" s="4">
        <v>45768</v>
      </c>
      <c r="C503" s="5">
        <f t="shared" si="14"/>
        <v>45748</v>
      </c>
      <c r="D503" s="3" t="s">
        <v>16</v>
      </c>
      <c r="E503" s="2" t="s">
        <v>17</v>
      </c>
      <c r="F503" s="2" t="s">
        <v>18</v>
      </c>
      <c r="G503" s="2" t="s">
        <v>19</v>
      </c>
      <c r="H503" s="3" t="s">
        <v>20</v>
      </c>
      <c r="I503" s="6">
        <v>48</v>
      </c>
      <c r="J503" s="6">
        <v>55</v>
      </c>
      <c r="K503" s="7">
        <v>0.90330921669549225</v>
      </c>
      <c r="L503" s="7">
        <v>0.97659081384741964</v>
      </c>
      <c r="M503" s="7">
        <v>0.96598760757507007</v>
      </c>
      <c r="N503" s="8">
        <v>30810</v>
      </c>
      <c r="O503" s="7">
        <f t="shared" si="15"/>
        <v>1.0238467810993335</v>
      </c>
    </row>
    <row r="504" spans="1:15">
      <c r="A504" s="3" t="s">
        <v>538</v>
      </c>
      <c r="B504" s="4">
        <v>45768</v>
      </c>
      <c r="C504" s="5">
        <f t="shared" si="14"/>
        <v>45748</v>
      </c>
      <c r="D504" s="3" t="s">
        <v>26</v>
      </c>
      <c r="E504" s="2" t="s">
        <v>27</v>
      </c>
      <c r="F504" s="2" t="s">
        <v>28</v>
      </c>
      <c r="G504" s="2" t="s">
        <v>29</v>
      </c>
      <c r="H504" s="3" t="s">
        <v>20</v>
      </c>
      <c r="I504" s="6">
        <v>37</v>
      </c>
      <c r="J504" s="6">
        <v>38</v>
      </c>
      <c r="K504" s="7">
        <v>0.93454130877888053</v>
      </c>
      <c r="L504" s="7">
        <v>0.98334023717308849</v>
      </c>
      <c r="M504" s="7">
        <v>0.86376419842454044</v>
      </c>
      <c r="N504" s="8">
        <v>16320</v>
      </c>
      <c r="O504" s="7">
        <f t="shared" si="15"/>
        <v>0.96470001326640231</v>
      </c>
    </row>
    <row r="505" spans="1:15">
      <c r="A505" s="3" t="s">
        <v>539</v>
      </c>
      <c r="B505" s="4">
        <v>45770</v>
      </c>
      <c r="C505" s="5">
        <f t="shared" si="14"/>
        <v>45748</v>
      </c>
      <c r="D505" s="3" t="s">
        <v>34</v>
      </c>
      <c r="E505" s="2" t="s">
        <v>35</v>
      </c>
      <c r="F505" s="2" t="s">
        <v>36</v>
      </c>
      <c r="G505" s="2" t="s">
        <v>37</v>
      </c>
      <c r="H505" s="3" t="s">
        <v>20</v>
      </c>
      <c r="I505" s="6">
        <v>29</v>
      </c>
      <c r="J505" s="6">
        <v>32</v>
      </c>
      <c r="K505" s="7">
        <v>0.95817543261345006</v>
      </c>
      <c r="L505" s="7">
        <v>0.95989280509730768</v>
      </c>
      <c r="M505" s="7">
        <v>0.9342446206317323</v>
      </c>
      <c r="N505" s="8">
        <v>15860</v>
      </c>
      <c r="O505" s="7">
        <f t="shared" si="15"/>
        <v>1.0117560133891328</v>
      </c>
    </row>
    <row r="506" spans="1:15">
      <c r="A506" s="3" t="s">
        <v>540</v>
      </c>
      <c r="B506" s="4">
        <v>45771</v>
      </c>
      <c r="C506" s="5">
        <f t="shared" si="14"/>
        <v>45748</v>
      </c>
      <c r="D506" s="3" t="s">
        <v>34</v>
      </c>
      <c r="E506" s="2" t="s">
        <v>35</v>
      </c>
      <c r="F506" s="2" t="s">
        <v>36</v>
      </c>
      <c r="G506" s="2" t="s">
        <v>37</v>
      </c>
      <c r="H506" s="3" t="s">
        <v>20</v>
      </c>
      <c r="I506" s="6">
        <v>44</v>
      </c>
      <c r="J506" s="6">
        <v>44</v>
      </c>
      <c r="K506" s="7">
        <v>0.96419548229665153</v>
      </c>
      <c r="L506" s="7">
        <v>0.9854242065836617</v>
      </c>
      <c r="M506" s="7">
        <v>0.92557055392236742</v>
      </c>
      <c r="N506" s="8">
        <v>18320</v>
      </c>
      <c r="O506" s="7">
        <f t="shared" si="15"/>
        <v>0.9739766123461856</v>
      </c>
    </row>
    <row r="507" spans="1:15">
      <c r="A507" s="3" t="s">
        <v>541</v>
      </c>
      <c r="B507" s="4">
        <v>45772</v>
      </c>
      <c r="C507" s="5">
        <f t="shared" si="14"/>
        <v>45748</v>
      </c>
      <c r="D507" s="3" t="s">
        <v>43</v>
      </c>
      <c r="E507" s="2" t="s">
        <v>44</v>
      </c>
      <c r="F507" s="2" t="s">
        <v>28</v>
      </c>
      <c r="G507" s="2" t="s">
        <v>29</v>
      </c>
      <c r="H507" s="3" t="s">
        <v>45</v>
      </c>
      <c r="I507" s="6">
        <v>49</v>
      </c>
      <c r="J507" s="6">
        <v>56</v>
      </c>
      <c r="K507" s="7">
        <v>0.96013328500081518</v>
      </c>
      <c r="L507" s="7">
        <v>0.99538902449502475</v>
      </c>
      <c r="M507" s="7">
        <v>0.9338716600955258</v>
      </c>
      <c r="N507" s="8">
        <v>24950</v>
      </c>
      <c r="O507" s="7">
        <f t="shared" si="15"/>
        <v>1.0332588640864198</v>
      </c>
    </row>
    <row r="508" spans="1:15">
      <c r="A508" s="3" t="s">
        <v>542</v>
      </c>
      <c r="B508" s="4">
        <v>45772</v>
      </c>
      <c r="C508" s="5">
        <f t="shared" si="14"/>
        <v>45748</v>
      </c>
      <c r="D508" s="3" t="s">
        <v>34</v>
      </c>
      <c r="E508" s="2" t="s">
        <v>35</v>
      </c>
      <c r="F508" s="2" t="s">
        <v>36</v>
      </c>
      <c r="G508" s="2" t="s">
        <v>37</v>
      </c>
      <c r="H508" s="3" t="s">
        <v>20</v>
      </c>
      <c r="I508" s="6">
        <v>46</v>
      </c>
      <c r="J508" s="6">
        <v>46</v>
      </c>
      <c r="K508" s="7">
        <v>0.9064654368469105</v>
      </c>
      <c r="L508" s="7">
        <v>0.99122260230217107</v>
      </c>
      <c r="M508" s="7">
        <v>0.92815726176850466</v>
      </c>
      <c r="N508" s="8">
        <v>20010</v>
      </c>
      <c r="O508" s="7">
        <f t="shared" si="15"/>
        <v>0.96093120191075421</v>
      </c>
    </row>
    <row r="509" spans="1:15">
      <c r="A509" s="3" t="s">
        <v>543</v>
      </c>
      <c r="B509" s="4">
        <v>45775</v>
      </c>
      <c r="C509" s="5">
        <f t="shared" si="14"/>
        <v>45748</v>
      </c>
      <c r="D509" s="3" t="s">
        <v>16</v>
      </c>
      <c r="E509" s="2" t="s">
        <v>17</v>
      </c>
      <c r="F509" s="2" t="s">
        <v>18</v>
      </c>
      <c r="G509" s="2" t="s">
        <v>19</v>
      </c>
      <c r="H509" s="3" t="s">
        <v>20</v>
      </c>
      <c r="I509" s="6">
        <v>29</v>
      </c>
      <c r="J509" s="6">
        <v>32</v>
      </c>
      <c r="K509" s="7">
        <v>0.95780540238887124</v>
      </c>
      <c r="L509" s="7">
        <v>0.98699865413317511</v>
      </c>
      <c r="M509" s="7">
        <v>0.9590793714347664</v>
      </c>
      <c r="N509" s="8">
        <v>19590</v>
      </c>
      <c r="O509" s="7">
        <f t="shared" si="15"/>
        <v>1.0206963333489749</v>
      </c>
    </row>
    <row r="510" spans="1:15">
      <c r="A510" s="3" t="s">
        <v>544</v>
      </c>
      <c r="B510" s="4">
        <v>45775</v>
      </c>
      <c r="C510" s="5">
        <f t="shared" si="14"/>
        <v>45748</v>
      </c>
      <c r="D510" s="3" t="s">
        <v>26</v>
      </c>
      <c r="E510" s="2" t="s">
        <v>27</v>
      </c>
      <c r="F510" s="2" t="s">
        <v>28</v>
      </c>
      <c r="G510" s="2" t="s">
        <v>29</v>
      </c>
      <c r="H510" s="3" t="s">
        <v>20</v>
      </c>
      <c r="I510" s="6">
        <v>48</v>
      </c>
      <c r="J510" s="6">
        <v>47</v>
      </c>
      <c r="K510" s="7">
        <v>0.83903517255192839</v>
      </c>
      <c r="L510" s="7">
        <v>0.97250117240437994</v>
      </c>
      <c r="M510" s="7">
        <v>0.90802894602954876</v>
      </c>
      <c r="N510" s="8">
        <v>20090</v>
      </c>
      <c r="O510" s="7">
        <f t="shared" si="15"/>
        <v>0.92890642487121555</v>
      </c>
    </row>
    <row r="511" spans="1:15">
      <c r="A511" s="3" t="s">
        <v>545</v>
      </c>
      <c r="B511" s="4">
        <v>45775</v>
      </c>
      <c r="C511" s="5">
        <f t="shared" si="14"/>
        <v>45748</v>
      </c>
      <c r="D511" s="3" t="s">
        <v>43</v>
      </c>
      <c r="E511" s="2" t="s">
        <v>44</v>
      </c>
      <c r="F511" s="2" t="s">
        <v>28</v>
      </c>
      <c r="G511" s="2" t="s">
        <v>29</v>
      </c>
      <c r="H511" s="3" t="s">
        <v>45</v>
      </c>
      <c r="I511" s="6">
        <v>35</v>
      </c>
      <c r="J511" s="6">
        <v>36</v>
      </c>
      <c r="K511" s="7">
        <v>0.95622997126810005</v>
      </c>
      <c r="L511" s="7">
        <v>0.98887564114793192</v>
      </c>
      <c r="M511" s="7">
        <v>0.9540064219583444</v>
      </c>
      <c r="N511" s="8">
        <v>16200</v>
      </c>
      <c r="O511" s="7">
        <f t="shared" si="15"/>
        <v>0.98961869480945508</v>
      </c>
    </row>
    <row r="512" spans="1:15">
      <c r="A512" s="3" t="s">
        <v>546</v>
      </c>
      <c r="B512" s="4">
        <v>45776</v>
      </c>
      <c r="C512" s="5">
        <f t="shared" si="14"/>
        <v>45748</v>
      </c>
      <c r="D512" s="3" t="s">
        <v>16</v>
      </c>
      <c r="E512" s="2" t="s">
        <v>17</v>
      </c>
      <c r="F512" s="2" t="s">
        <v>18</v>
      </c>
      <c r="G512" s="2" t="s">
        <v>19</v>
      </c>
      <c r="H512" s="3" t="s">
        <v>20</v>
      </c>
      <c r="I512" s="6">
        <v>53</v>
      </c>
      <c r="J512" s="6">
        <v>64</v>
      </c>
      <c r="K512" s="7">
        <v>0.91655316958499566</v>
      </c>
      <c r="L512" s="7">
        <v>0.97366333589235787</v>
      </c>
      <c r="M512" s="7">
        <v>0.93994962704313545</v>
      </c>
      <c r="N512" s="8">
        <v>36890</v>
      </c>
      <c r="O512" s="7">
        <f t="shared" si="15"/>
        <v>1.0431777181887296</v>
      </c>
    </row>
    <row r="513" spans="1:15">
      <c r="A513" s="3" t="s">
        <v>547</v>
      </c>
      <c r="B513" s="4">
        <v>45776</v>
      </c>
      <c r="C513" s="5">
        <f t="shared" si="14"/>
        <v>45748</v>
      </c>
      <c r="D513" s="3" t="s">
        <v>16</v>
      </c>
      <c r="E513" s="2" t="s">
        <v>17</v>
      </c>
      <c r="F513" s="2" t="s">
        <v>18</v>
      </c>
      <c r="G513" s="2" t="s">
        <v>19</v>
      </c>
      <c r="H513" s="3" t="s">
        <v>20</v>
      </c>
      <c r="I513" s="6">
        <v>46</v>
      </c>
      <c r="J513" s="6">
        <v>51</v>
      </c>
      <c r="K513" s="7">
        <v>0.94959696098466462</v>
      </c>
      <c r="L513" s="7">
        <v>1</v>
      </c>
      <c r="M513" s="7">
        <v>0.92702803719718918</v>
      </c>
      <c r="N513" s="8">
        <v>30360</v>
      </c>
      <c r="O513" s="7">
        <f t="shared" si="15"/>
        <v>1.0162831085551693</v>
      </c>
    </row>
    <row r="514" spans="1:15">
      <c r="A514" s="3" t="s">
        <v>548</v>
      </c>
      <c r="B514" s="4">
        <v>45776</v>
      </c>
      <c r="C514" s="5">
        <f t="shared" ref="C514:C577" si="16">DATE(YEAR(B514),MONTH(B514),1)</f>
        <v>45748</v>
      </c>
      <c r="D514" s="3" t="s">
        <v>26</v>
      </c>
      <c r="E514" s="2" t="s">
        <v>27</v>
      </c>
      <c r="F514" s="2" t="s">
        <v>28</v>
      </c>
      <c r="G514" s="2" t="s">
        <v>29</v>
      </c>
      <c r="H514" s="3" t="s">
        <v>20</v>
      </c>
      <c r="I514" s="6">
        <v>55</v>
      </c>
      <c r="J514" s="6">
        <v>59</v>
      </c>
      <c r="K514" s="7">
        <v>0.93157448360600326</v>
      </c>
      <c r="L514" s="7">
        <v>0.91242884649434364</v>
      </c>
      <c r="M514" s="7">
        <v>0.90040440878278438</v>
      </c>
      <c r="N514" s="8">
        <v>22150</v>
      </c>
      <c r="O514" s="7">
        <f t="shared" ref="O514:O577" si="17">MIN(J514/I514,1.2)*40%+K514*25%+L514*15%+M514*20%</f>
        <v>0.97892973872311839</v>
      </c>
    </row>
    <row r="515" spans="1:15">
      <c r="A515" s="3" t="s">
        <v>549</v>
      </c>
      <c r="B515" s="4">
        <v>45776</v>
      </c>
      <c r="C515" s="5">
        <f t="shared" si="16"/>
        <v>45748</v>
      </c>
      <c r="D515" s="3" t="s">
        <v>43</v>
      </c>
      <c r="E515" s="2" t="s">
        <v>44</v>
      </c>
      <c r="F515" s="2" t="s">
        <v>28</v>
      </c>
      <c r="G515" s="2" t="s">
        <v>29</v>
      </c>
      <c r="H515" s="3" t="s">
        <v>45</v>
      </c>
      <c r="I515" s="6">
        <v>49</v>
      </c>
      <c r="J515" s="6">
        <v>59</v>
      </c>
      <c r="K515" s="7">
        <v>0.9924826739750674</v>
      </c>
      <c r="L515" s="7">
        <v>0.96648246351260581</v>
      </c>
      <c r="M515" s="7">
        <v>0.92452774549877537</v>
      </c>
      <c r="N515" s="8">
        <v>24150</v>
      </c>
      <c r="O515" s="7">
        <f t="shared" si="17"/>
        <v>1.0579985871204127</v>
      </c>
    </row>
    <row r="516" spans="1:15">
      <c r="A516" s="3" t="s">
        <v>550</v>
      </c>
      <c r="B516" s="4">
        <v>45778</v>
      </c>
      <c r="C516" s="5">
        <f t="shared" si="16"/>
        <v>45778</v>
      </c>
      <c r="D516" s="3" t="s">
        <v>39</v>
      </c>
      <c r="E516" s="2" t="s">
        <v>40</v>
      </c>
      <c r="F516" s="2" t="s">
        <v>36</v>
      </c>
      <c r="G516" s="2" t="s">
        <v>37</v>
      </c>
      <c r="H516" s="3" t="s">
        <v>24</v>
      </c>
      <c r="I516" s="6">
        <v>36</v>
      </c>
      <c r="J516" s="6">
        <v>41</v>
      </c>
      <c r="K516" s="7">
        <v>0.95945056880645496</v>
      </c>
      <c r="L516" s="7">
        <v>0.98628442178833675</v>
      </c>
      <c r="M516" s="7">
        <v>0.94908236099592047</v>
      </c>
      <c r="N516" s="8">
        <v>18690</v>
      </c>
      <c r="O516" s="7">
        <f t="shared" si="17"/>
        <v>1.0331773332246039</v>
      </c>
    </row>
    <row r="517" spans="1:15">
      <c r="A517" s="3" t="s">
        <v>551</v>
      </c>
      <c r="B517" s="4">
        <v>45779</v>
      </c>
      <c r="C517" s="5">
        <f t="shared" si="16"/>
        <v>45778</v>
      </c>
      <c r="D517" s="3" t="s">
        <v>16</v>
      </c>
      <c r="E517" s="2" t="s">
        <v>17</v>
      </c>
      <c r="F517" s="2" t="s">
        <v>18</v>
      </c>
      <c r="G517" s="2" t="s">
        <v>19</v>
      </c>
      <c r="H517" s="3" t="s">
        <v>20</v>
      </c>
      <c r="I517" s="6">
        <v>51</v>
      </c>
      <c r="J517" s="6">
        <v>61</v>
      </c>
      <c r="K517" s="7">
        <v>0.93021452437730545</v>
      </c>
      <c r="L517" s="7">
        <v>0.98194673268628185</v>
      </c>
      <c r="M517" s="7">
        <v>0.92529117527950733</v>
      </c>
      <c r="N517" s="8">
        <v>37360</v>
      </c>
      <c r="O517" s="7">
        <f t="shared" si="17"/>
        <v>1.0433352486021898</v>
      </c>
    </row>
    <row r="518" spans="1:15">
      <c r="A518" s="3" t="s">
        <v>552</v>
      </c>
      <c r="B518" s="4">
        <v>45779</v>
      </c>
      <c r="C518" s="5">
        <f t="shared" si="16"/>
        <v>45778</v>
      </c>
      <c r="D518" s="3" t="s">
        <v>34</v>
      </c>
      <c r="E518" s="2" t="s">
        <v>35</v>
      </c>
      <c r="F518" s="2" t="s">
        <v>36</v>
      </c>
      <c r="G518" s="2" t="s">
        <v>37</v>
      </c>
      <c r="H518" s="3" t="s">
        <v>20</v>
      </c>
      <c r="I518" s="6">
        <v>32</v>
      </c>
      <c r="J518" s="6">
        <v>25</v>
      </c>
      <c r="K518" s="7">
        <v>0.95342547097006936</v>
      </c>
      <c r="L518" s="7">
        <v>0.94036806212633461</v>
      </c>
      <c r="M518" s="7">
        <v>0.96996123672227474</v>
      </c>
      <c r="N518" s="8">
        <v>12860</v>
      </c>
      <c r="O518" s="7">
        <f t="shared" si="17"/>
        <v>0.88590382440592252</v>
      </c>
    </row>
    <row r="519" spans="1:15">
      <c r="A519" s="3" t="s">
        <v>553</v>
      </c>
      <c r="B519" s="4">
        <v>45779</v>
      </c>
      <c r="C519" s="5">
        <f t="shared" si="16"/>
        <v>45778</v>
      </c>
      <c r="D519" s="3" t="s">
        <v>39</v>
      </c>
      <c r="E519" s="2" t="s">
        <v>40</v>
      </c>
      <c r="F519" s="2" t="s">
        <v>36</v>
      </c>
      <c r="G519" s="2" t="s">
        <v>37</v>
      </c>
      <c r="H519" s="3" t="s">
        <v>24</v>
      </c>
      <c r="I519" s="6">
        <v>45</v>
      </c>
      <c r="J519" s="6">
        <v>54</v>
      </c>
      <c r="K519" s="7">
        <v>0.96719439003646501</v>
      </c>
      <c r="L519" s="7">
        <v>0.99990452384970085</v>
      </c>
      <c r="M519" s="7">
        <v>0.93409352930298317</v>
      </c>
      <c r="N519" s="8">
        <v>25880</v>
      </c>
      <c r="O519" s="7">
        <f t="shared" si="17"/>
        <v>1.0586029819471681</v>
      </c>
    </row>
    <row r="520" spans="1:15">
      <c r="A520" s="3" t="s">
        <v>554</v>
      </c>
      <c r="B520" s="4">
        <v>45782</v>
      </c>
      <c r="C520" s="5">
        <f t="shared" si="16"/>
        <v>45778</v>
      </c>
      <c r="D520" s="3" t="s">
        <v>16</v>
      </c>
      <c r="E520" s="2" t="s">
        <v>17</v>
      </c>
      <c r="F520" s="2" t="s">
        <v>18</v>
      </c>
      <c r="G520" s="2" t="s">
        <v>19</v>
      </c>
      <c r="H520" s="3" t="s">
        <v>20</v>
      </c>
      <c r="I520" s="6">
        <v>43</v>
      </c>
      <c r="J520" s="6">
        <v>48</v>
      </c>
      <c r="K520" s="7">
        <v>0.95689395475117922</v>
      </c>
      <c r="L520" s="7">
        <v>0.97191839097947508</v>
      </c>
      <c r="M520" s="7">
        <v>0.92501816316782659</v>
      </c>
      <c r="N520" s="8">
        <v>24320</v>
      </c>
      <c r="O520" s="7">
        <f t="shared" si="17"/>
        <v>1.0165265078752581</v>
      </c>
    </row>
    <row r="521" spans="1:15">
      <c r="A521" s="3" t="s">
        <v>555</v>
      </c>
      <c r="B521" s="4">
        <v>45782</v>
      </c>
      <c r="C521" s="5">
        <f t="shared" si="16"/>
        <v>45778</v>
      </c>
      <c r="D521" s="3" t="s">
        <v>39</v>
      </c>
      <c r="E521" s="2" t="s">
        <v>40</v>
      </c>
      <c r="F521" s="2" t="s">
        <v>36</v>
      </c>
      <c r="G521" s="2" t="s">
        <v>37</v>
      </c>
      <c r="H521" s="3" t="s">
        <v>24</v>
      </c>
      <c r="I521" s="6">
        <v>44</v>
      </c>
      <c r="J521" s="6">
        <v>46</v>
      </c>
      <c r="K521" s="7">
        <v>0.97615791546551767</v>
      </c>
      <c r="L521" s="7">
        <v>0.97169757636034504</v>
      </c>
      <c r="M521" s="7">
        <v>0.96366435886411672</v>
      </c>
      <c r="N521" s="8">
        <v>21230</v>
      </c>
      <c r="O521" s="7">
        <f t="shared" si="17"/>
        <v>1.0007088052750728</v>
      </c>
    </row>
    <row r="522" spans="1:15">
      <c r="A522" s="3" t="s">
        <v>556</v>
      </c>
      <c r="B522" s="4">
        <v>45783</v>
      </c>
      <c r="C522" s="5">
        <f t="shared" si="16"/>
        <v>45778</v>
      </c>
      <c r="D522" s="3" t="s">
        <v>26</v>
      </c>
      <c r="E522" s="2" t="s">
        <v>27</v>
      </c>
      <c r="F522" s="2" t="s">
        <v>28</v>
      </c>
      <c r="G522" s="2" t="s">
        <v>29</v>
      </c>
      <c r="H522" s="3" t="s">
        <v>20</v>
      </c>
      <c r="I522" s="6">
        <v>42</v>
      </c>
      <c r="J522" s="6">
        <v>36</v>
      </c>
      <c r="K522" s="7">
        <v>0.91705358591937258</v>
      </c>
      <c r="L522" s="7">
        <v>0.94138807254543933</v>
      </c>
      <c r="M522" s="7">
        <v>0.89105984279728978</v>
      </c>
      <c r="N522" s="8">
        <v>14950</v>
      </c>
      <c r="O522" s="7">
        <f t="shared" si="17"/>
        <v>0.89154071877825991</v>
      </c>
    </row>
    <row r="523" spans="1:15">
      <c r="A523" s="3" t="s">
        <v>557</v>
      </c>
      <c r="B523" s="4">
        <v>45783</v>
      </c>
      <c r="C523" s="5">
        <f t="shared" si="16"/>
        <v>45778</v>
      </c>
      <c r="D523" s="3" t="s">
        <v>39</v>
      </c>
      <c r="E523" s="2" t="s">
        <v>40</v>
      </c>
      <c r="F523" s="2" t="s">
        <v>36</v>
      </c>
      <c r="G523" s="2" t="s">
        <v>37</v>
      </c>
      <c r="H523" s="3" t="s">
        <v>24</v>
      </c>
      <c r="I523" s="6">
        <v>46</v>
      </c>
      <c r="J523" s="6">
        <v>47</v>
      </c>
      <c r="K523" s="7">
        <v>0.94659977768633763</v>
      </c>
      <c r="L523" s="7">
        <v>0.95404729247263986</v>
      </c>
      <c r="M523" s="7">
        <v>0.99221189867824744</v>
      </c>
      <c r="N523" s="8">
        <v>24790</v>
      </c>
      <c r="O523" s="7">
        <f t="shared" si="17"/>
        <v>0.98689507020204303</v>
      </c>
    </row>
    <row r="524" spans="1:15">
      <c r="A524" s="3" t="s">
        <v>558</v>
      </c>
      <c r="B524" s="4">
        <v>45785</v>
      </c>
      <c r="C524" s="5">
        <f t="shared" si="16"/>
        <v>45778</v>
      </c>
      <c r="D524" s="3" t="s">
        <v>26</v>
      </c>
      <c r="E524" s="2" t="s">
        <v>27</v>
      </c>
      <c r="F524" s="2" t="s">
        <v>28</v>
      </c>
      <c r="G524" s="2" t="s">
        <v>29</v>
      </c>
      <c r="H524" s="3" t="s">
        <v>20</v>
      </c>
      <c r="I524" s="6">
        <v>31</v>
      </c>
      <c r="J524" s="6">
        <v>30</v>
      </c>
      <c r="K524" s="7">
        <v>0.92705872832531355</v>
      </c>
      <c r="L524" s="7">
        <v>0.95305466484319468</v>
      </c>
      <c r="M524" s="7">
        <v>0.8715073855840707</v>
      </c>
      <c r="N524" s="8">
        <v>12650</v>
      </c>
      <c r="O524" s="7">
        <f t="shared" si="17"/>
        <v>0.93612113311817025</v>
      </c>
    </row>
    <row r="525" spans="1:15">
      <c r="A525" s="3" t="s">
        <v>559</v>
      </c>
      <c r="B525" s="4">
        <v>45785</v>
      </c>
      <c r="C525" s="5">
        <f t="shared" si="16"/>
        <v>45778</v>
      </c>
      <c r="D525" s="3" t="s">
        <v>34</v>
      </c>
      <c r="E525" s="2" t="s">
        <v>35</v>
      </c>
      <c r="F525" s="2" t="s">
        <v>36</v>
      </c>
      <c r="G525" s="2" t="s">
        <v>37</v>
      </c>
      <c r="H525" s="3" t="s">
        <v>20</v>
      </c>
      <c r="I525" s="6">
        <v>33</v>
      </c>
      <c r="J525" s="6">
        <v>34</v>
      </c>
      <c r="K525" s="7">
        <v>0.95777165125456298</v>
      </c>
      <c r="L525" s="7">
        <v>0.97485332770158406</v>
      </c>
      <c r="M525" s="7">
        <v>0.96788606714912617</v>
      </c>
      <c r="N525" s="8">
        <v>16880</v>
      </c>
      <c r="O525" s="7">
        <f t="shared" si="17"/>
        <v>0.99136933751991574</v>
      </c>
    </row>
    <row r="526" spans="1:15">
      <c r="A526" s="3" t="s">
        <v>560</v>
      </c>
      <c r="B526" s="4">
        <v>45786</v>
      </c>
      <c r="C526" s="5">
        <f t="shared" si="16"/>
        <v>45778</v>
      </c>
      <c r="D526" s="3" t="s">
        <v>22</v>
      </c>
      <c r="E526" s="2" t="s">
        <v>23</v>
      </c>
      <c r="F526" s="2" t="s">
        <v>18</v>
      </c>
      <c r="G526" s="2" t="s">
        <v>19</v>
      </c>
      <c r="H526" s="3" t="s">
        <v>24</v>
      </c>
      <c r="I526" s="6">
        <v>36</v>
      </c>
      <c r="J526" s="6">
        <v>36</v>
      </c>
      <c r="K526" s="7">
        <v>0.85489637514604955</v>
      </c>
      <c r="L526" s="7">
        <v>0.94549308678049604</v>
      </c>
      <c r="M526" s="7">
        <v>0.94660437204585168</v>
      </c>
      <c r="N526" s="8">
        <v>17680</v>
      </c>
      <c r="O526" s="7">
        <f t="shared" si="17"/>
        <v>0.94486893121275717</v>
      </c>
    </row>
    <row r="527" spans="1:15">
      <c r="A527" s="3" t="s">
        <v>561</v>
      </c>
      <c r="B527" s="4">
        <v>45786</v>
      </c>
      <c r="C527" s="5">
        <f t="shared" si="16"/>
        <v>45778</v>
      </c>
      <c r="D527" s="3" t="s">
        <v>22</v>
      </c>
      <c r="E527" s="2" t="s">
        <v>23</v>
      </c>
      <c r="F527" s="2" t="s">
        <v>18</v>
      </c>
      <c r="G527" s="2" t="s">
        <v>19</v>
      </c>
      <c r="H527" s="3" t="s">
        <v>24</v>
      </c>
      <c r="I527" s="6">
        <v>51</v>
      </c>
      <c r="J527" s="6">
        <v>55</v>
      </c>
      <c r="K527" s="7">
        <v>0.90719217425111864</v>
      </c>
      <c r="L527" s="7">
        <v>0.94559843113950914</v>
      </c>
      <c r="M527" s="7">
        <v>0.99090039250013795</v>
      </c>
      <c r="N527" s="8">
        <v>27160</v>
      </c>
      <c r="O527" s="7">
        <f t="shared" si="17"/>
        <v>0.99819043575334154</v>
      </c>
    </row>
    <row r="528" spans="1:15">
      <c r="A528" s="3" t="s">
        <v>562</v>
      </c>
      <c r="B528" s="4">
        <v>45786</v>
      </c>
      <c r="C528" s="5">
        <f t="shared" si="16"/>
        <v>45778</v>
      </c>
      <c r="D528" s="3" t="s">
        <v>26</v>
      </c>
      <c r="E528" s="2" t="s">
        <v>27</v>
      </c>
      <c r="F528" s="2" t="s">
        <v>28</v>
      </c>
      <c r="G528" s="2" t="s">
        <v>29</v>
      </c>
      <c r="H528" s="3" t="s">
        <v>20</v>
      </c>
      <c r="I528" s="6">
        <v>35</v>
      </c>
      <c r="J528" s="6">
        <v>35</v>
      </c>
      <c r="K528" s="7">
        <v>0.86676063783686064</v>
      </c>
      <c r="L528" s="7">
        <v>0.94794238771369488</v>
      </c>
      <c r="M528" s="7">
        <v>0.90004741231125152</v>
      </c>
      <c r="N528" s="8">
        <v>12280</v>
      </c>
      <c r="O528" s="7">
        <f t="shared" si="17"/>
        <v>0.93889100007851967</v>
      </c>
    </row>
    <row r="529" spans="1:15">
      <c r="A529" s="3" t="s">
        <v>563</v>
      </c>
      <c r="B529" s="4">
        <v>45786</v>
      </c>
      <c r="C529" s="5">
        <f t="shared" si="16"/>
        <v>45778</v>
      </c>
      <c r="D529" s="3" t="s">
        <v>26</v>
      </c>
      <c r="E529" s="2" t="s">
        <v>27</v>
      </c>
      <c r="F529" s="2" t="s">
        <v>28</v>
      </c>
      <c r="G529" s="2" t="s">
        <v>29</v>
      </c>
      <c r="H529" s="3" t="s">
        <v>20</v>
      </c>
      <c r="I529" s="6">
        <v>32</v>
      </c>
      <c r="J529" s="6">
        <v>32</v>
      </c>
      <c r="K529" s="7">
        <v>0.92569785347679368</v>
      </c>
      <c r="L529" s="7">
        <v>0.92574482940417413</v>
      </c>
      <c r="M529" s="7">
        <v>0.87517502492967958</v>
      </c>
      <c r="N529" s="8">
        <v>12500</v>
      </c>
      <c r="O529" s="7">
        <f t="shared" si="17"/>
        <v>0.94532119276576054</v>
      </c>
    </row>
    <row r="530" spans="1:15">
      <c r="A530" s="3" t="s">
        <v>564</v>
      </c>
      <c r="B530" s="4">
        <v>45786</v>
      </c>
      <c r="C530" s="5">
        <f t="shared" si="16"/>
        <v>45778</v>
      </c>
      <c r="D530" s="3" t="s">
        <v>34</v>
      </c>
      <c r="E530" s="2" t="s">
        <v>35</v>
      </c>
      <c r="F530" s="2" t="s">
        <v>36</v>
      </c>
      <c r="G530" s="2" t="s">
        <v>37</v>
      </c>
      <c r="H530" s="3" t="s">
        <v>20</v>
      </c>
      <c r="I530" s="6">
        <v>39</v>
      </c>
      <c r="J530" s="6">
        <v>42</v>
      </c>
      <c r="K530" s="7">
        <v>0.91713354637318611</v>
      </c>
      <c r="L530" s="7">
        <v>0.95134123037819973</v>
      </c>
      <c r="M530" s="7">
        <v>0.95096913689838425</v>
      </c>
      <c r="N530" s="8">
        <v>18440</v>
      </c>
      <c r="O530" s="7">
        <f t="shared" si="17"/>
        <v>0.9929476292989341</v>
      </c>
    </row>
    <row r="531" spans="1:15">
      <c r="A531" s="3" t="s">
        <v>565</v>
      </c>
      <c r="B531" s="4">
        <v>45786</v>
      </c>
      <c r="C531" s="5">
        <f t="shared" si="16"/>
        <v>45778</v>
      </c>
      <c r="D531" s="3" t="s">
        <v>34</v>
      </c>
      <c r="E531" s="2" t="s">
        <v>35</v>
      </c>
      <c r="F531" s="2" t="s">
        <v>36</v>
      </c>
      <c r="G531" s="2" t="s">
        <v>37</v>
      </c>
      <c r="H531" s="3" t="s">
        <v>20</v>
      </c>
      <c r="I531" s="6">
        <v>41</v>
      </c>
      <c r="J531" s="6">
        <v>38</v>
      </c>
      <c r="K531" s="7">
        <v>0.97888725711982383</v>
      </c>
      <c r="L531" s="7">
        <v>0.96834429311511705</v>
      </c>
      <c r="M531" s="7">
        <v>0.94938751109308872</v>
      </c>
      <c r="N531" s="8">
        <v>16350</v>
      </c>
      <c r="O531" s="7">
        <f t="shared" si="17"/>
        <v>0.95058266778291445</v>
      </c>
    </row>
    <row r="532" spans="1:15">
      <c r="A532" s="3" t="s">
        <v>566</v>
      </c>
      <c r="B532" s="4">
        <v>45786</v>
      </c>
      <c r="C532" s="5">
        <f t="shared" si="16"/>
        <v>45778</v>
      </c>
      <c r="D532" s="3" t="s">
        <v>39</v>
      </c>
      <c r="E532" s="2" t="s">
        <v>40</v>
      </c>
      <c r="F532" s="2" t="s">
        <v>36</v>
      </c>
      <c r="G532" s="2" t="s">
        <v>37</v>
      </c>
      <c r="H532" s="3" t="s">
        <v>24</v>
      </c>
      <c r="I532" s="6">
        <v>36</v>
      </c>
      <c r="J532" s="6">
        <v>44</v>
      </c>
      <c r="K532" s="7">
        <v>0.96017056358697539</v>
      </c>
      <c r="L532" s="7">
        <v>0.98274674934727246</v>
      </c>
      <c r="M532" s="7">
        <v>0.94310630737896972</v>
      </c>
      <c r="N532" s="8">
        <v>19260</v>
      </c>
      <c r="O532" s="7">
        <f t="shared" si="17"/>
        <v>1.0560759147746288</v>
      </c>
    </row>
    <row r="533" spans="1:15">
      <c r="A533" s="3" t="s">
        <v>567</v>
      </c>
      <c r="B533" s="4">
        <v>45790</v>
      </c>
      <c r="C533" s="5">
        <f t="shared" si="16"/>
        <v>45778</v>
      </c>
      <c r="D533" s="3" t="s">
        <v>16</v>
      </c>
      <c r="E533" s="2" t="s">
        <v>17</v>
      </c>
      <c r="F533" s="2" t="s">
        <v>18</v>
      </c>
      <c r="G533" s="2" t="s">
        <v>19</v>
      </c>
      <c r="H533" s="3" t="s">
        <v>20</v>
      </c>
      <c r="I533" s="6">
        <v>48</v>
      </c>
      <c r="J533" s="6">
        <v>45</v>
      </c>
      <c r="K533" s="7">
        <v>0.92951060543902109</v>
      </c>
      <c r="L533" s="7">
        <v>0.98006665206973786</v>
      </c>
      <c r="M533" s="7">
        <v>0.92297485748669639</v>
      </c>
      <c r="N533" s="8">
        <v>23580</v>
      </c>
      <c r="O533" s="7">
        <f t="shared" si="17"/>
        <v>0.93898262066755522</v>
      </c>
    </row>
    <row r="534" spans="1:15">
      <c r="A534" s="3" t="s">
        <v>568</v>
      </c>
      <c r="B534" s="4">
        <v>45790</v>
      </c>
      <c r="C534" s="5">
        <f t="shared" si="16"/>
        <v>45778</v>
      </c>
      <c r="D534" s="3" t="s">
        <v>34</v>
      </c>
      <c r="E534" s="2" t="s">
        <v>35</v>
      </c>
      <c r="F534" s="2" t="s">
        <v>36</v>
      </c>
      <c r="G534" s="2" t="s">
        <v>37</v>
      </c>
      <c r="H534" s="3" t="s">
        <v>20</v>
      </c>
      <c r="I534" s="6">
        <v>48</v>
      </c>
      <c r="J534" s="6">
        <v>46</v>
      </c>
      <c r="K534" s="7">
        <v>0.9682919573098373</v>
      </c>
      <c r="L534" s="7">
        <v>0.92504076495055032</v>
      </c>
      <c r="M534" s="7">
        <v>0.91848060814857579</v>
      </c>
      <c r="N534" s="8">
        <v>22000</v>
      </c>
      <c r="O534" s="7">
        <f t="shared" si="17"/>
        <v>0.94785855903309035</v>
      </c>
    </row>
    <row r="535" spans="1:15">
      <c r="A535" s="3" t="s">
        <v>569</v>
      </c>
      <c r="B535" s="4">
        <v>45790</v>
      </c>
      <c r="C535" s="5">
        <f t="shared" si="16"/>
        <v>45778</v>
      </c>
      <c r="D535" s="3" t="s">
        <v>34</v>
      </c>
      <c r="E535" s="2" t="s">
        <v>35</v>
      </c>
      <c r="F535" s="2" t="s">
        <v>36</v>
      </c>
      <c r="G535" s="2" t="s">
        <v>37</v>
      </c>
      <c r="H535" s="3" t="s">
        <v>20</v>
      </c>
      <c r="I535" s="6">
        <v>38</v>
      </c>
      <c r="J535" s="6">
        <v>36</v>
      </c>
      <c r="K535" s="7">
        <v>0.96171635872373917</v>
      </c>
      <c r="L535" s="7">
        <v>0.96143102301455485</v>
      </c>
      <c r="M535" s="7">
        <v>0.96201797729813121</v>
      </c>
      <c r="N535" s="8">
        <v>14790</v>
      </c>
      <c r="O535" s="7">
        <f t="shared" si="17"/>
        <v>0.95599470701379685</v>
      </c>
    </row>
    <row r="536" spans="1:15">
      <c r="A536" s="3" t="s">
        <v>570</v>
      </c>
      <c r="B536" s="4">
        <v>45791</v>
      </c>
      <c r="C536" s="5">
        <f t="shared" si="16"/>
        <v>45778</v>
      </c>
      <c r="D536" s="3" t="s">
        <v>22</v>
      </c>
      <c r="E536" s="2" t="s">
        <v>23</v>
      </c>
      <c r="F536" s="2" t="s">
        <v>18</v>
      </c>
      <c r="G536" s="2" t="s">
        <v>19</v>
      </c>
      <c r="H536" s="3" t="s">
        <v>24</v>
      </c>
      <c r="I536" s="6">
        <v>34</v>
      </c>
      <c r="J536" s="6">
        <v>34</v>
      </c>
      <c r="K536" s="7">
        <v>0.93784997861787134</v>
      </c>
      <c r="L536" s="7">
        <v>0.95550905757876248</v>
      </c>
      <c r="M536" s="7">
        <v>0.98572988319667754</v>
      </c>
      <c r="N536" s="8">
        <v>20780</v>
      </c>
      <c r="O536" s="7">
        <f t="shared" si="17"/>
        <v>0.97493482993061775</v>
      </c>
    </row>
    <row r="537" spans="1:15">
      <c r="A537" s="3" t="s">
        <v>571</v>
      </c>
      <c r="B537" s="4">
        <v>45791</v>
      </c>
      <c r="C537" s="5">
        <f t="shared" si="16"/>
        <v>45778</v>
      </c>
      <c r="D537" s="3" t="s">
        <v>22</v>
      </c>
      <c r="E537" s="2" t="s">
        <v>23</v>
      </c>
      <c r="F537" s="2" t="s">
        <v>18</v>
      </c>
      <c r="G537" s="2" t="s">
        <v>19</v>
      </c>
      <c r="H537" s="3" t="s">
        <v>24</v>
      </c>
      <c r="I537" s="6">
        <v>35</v>
      </c>
      <c r="J537" s="6">
        <v>35</v>
      </c>
      <c r="K537" s="7">
        <v>0.95175671376505644</v>
      </c>
      <c r="L537" s="7">
        <v>0.94977959502323472</v>
      </c>
      <c r="M537" s="7">
        <v>0.9303264180160894</v>
      </c>
      <c r="N537" s="8">
        <v>21480</v>
      </c>
      <c r="O537" s="7">
        <f t="shared" si="17"/>
        <v>0.96647140129796716</v>
      </c>
    </row>
    <row r="538" spans="1:15">
      <c r="A538" s="3" t="s">
        <v>572</v>
      </c>
      <c r="B538" s="4">
        <v>45793</v>
      </c>
      <c r="C538" s="5">
        <f t="shared" si="16"/>
        <v>45778</v>
      </c>
      <c r="D538" s="3" t="s">
        <v>16</v>
      </c>
      <c r="E538" s="2" t="s">
        <v>17</v>
      </c>
      <c r="F538" s="2" t="s">
        <v>18</v>
      </c>
      <c r="G538" s="2" t="s">
        <v>19</v>
      </c>
      <c r="H538" s="3" t="s">
        <v>20</v>
      </c>
      <c r="I538" s="6">
        <v>55</v>
      </c>
      <c r="J538" s="6">
        <v>60</v>
      </c>
      <c r="K538" s="7">
        <v>0.93185042916766014</v>
      </c>
      <c r="L538" s="7">
        <v>0.97657096217246486</v>
      </c>
      <c r="M538" s="7">
        <v>0.91935750334521393</v>
      </c>
      <c r="N538" s="8">
        <v>38860</v>
      </c>
      <c r="O538" s="7">
        <f t="shared" si="17"/>
        <v>0.99968338865046391</v>
      </c>
    </row>
    <row r="539" spans="1:15">
      <c r="A539" s="3" t="s">
        <v>573</v>
      </c>
      <c r="B539" s="4">
        <v>45793</v>
      </c>
      <c r="C539" s="5">
        <f t="shared" si="16"/>
        <v>45778</v>
      </c>
      <c r="D539" s="3" t="s">
        <v>22</v>
      </c>
      <c r="E539" s="2" t="s">
        <v>23</v>
      </c>
      <c r="F539" s="2" t="s">
        <v>18</v>
      </c>
      <c r="G539" s="2" t="s">
        <v>19</v>
      </c>
      <c r="H539" s="3" t="s">
        <v>24</v>
      </c>
      <c r="I539" s="6">
        <v>47</v>
      </c>
      <c r="J539" s="6">
        <v>41</v>
      </c>
      <c r="K539" s="7">
        <v>0.9561448839807305</v>
      </c>
      <c r="L539" s="7">
        <v>0.97695427379496202</v>
      </c>
      <c r="M539" s="7">
        <v>0.95530264484575877</v>
      </c>
      <c r="N539" s="8">
        <v>22460</v>
      </c>
      <c r="O539" s="7">
        <f t="shared" si="17"/>
        <v>0.92557606124634462</v>
      </c>
    </row>
    <row r="540" spans="1:15">
      <c r="A540" s="3" t="s">
        <v>574</v>
      </c>
      <c r="B540" s="4">
        <v>45793</v>
      </c>
      <c r="C540" s="5">
        <f t="shared" si="16"/>
        <v>45778</v>
      </c>
      <c r="D540" s="3" t="s">
        <v>43</v>
      </c>
      <c r="E540" s="2" t="s">
        <v>44</v>
      </c>
      <c r="F540" s="2" t="s">
        <v>28</v>
      </c>
      <c r="G540" s="2" t="s">
        <v>29</v>
      </c>
      <c r="H540" s="3" t="s">
        <v>45</v>
      </c>
      <c r="I540" s="6">
        <v>41</v>
      </c>
      <c r="J540" s="6">
        <v>43</v>
      </c>
      <c r="K540" s="7">
        <v>0.92633794111191703</v>
      </c>
      <c r="L540" s="7">
        <v>0.99154460607030803</v>
      </c>
      <c r="M540" s="7">
        <v>0.95025080603570844</v>
      </c>
      <c r="N540" s="8">
        <v>19520</v>
      </c>
      <c r="O540" s="7">
        <f t="shared" si="17"/>
        <v>0.98987853251761837</v>
      </c>
    </row>
    <row r="541" spans="1:15">
      <c r="A541" s="3" t="s">
        <v>575</v>
      </c>
      <c r="B541" s="4">
        <v>45799</v>
      </c>
      <c r="C541" s="5">
        <f t="shared" si="16"/>
        <v>45778</v>
      </c>
      <c r="D541" s="3" t="s">
        <v>34</v>
      </c>
      <c r="E541" s="2" t="s">
        <v>35</v>
      </c>
      <c r="F541" s="2" t="s">
        <v>36</v>
      </c>
      <c r="G541" s="2" t="s">
        <v>37</v>
      </c>
      <c r="H541" s="3" t="s">
        <v>20</v>
      </c>
      <c r="I541" s="6">
        <v>47</v>
      </c>
      <c r="J541" s="6">
        <v>44</v>
      </c>
      <c r="K541" s="7">
        <v>0.91409429352418803</v>
      </c>
      <c r="L541" s="7">
        <v>0.961382358631512</v>
      </c>
      <c r="M541" s="7">
        <v>0.94236660149169271</v>
      </c>
      <c r="N541" s="8">
        <v>19730</v>
      </c>
      <c r="O541" s="7">
        <f t="shared" si="17"/>
        <v>0.93567233258049531</v>
      </c>
    </row>
    <row r="542" spans="1:15">
      <c r="A542" s="3" t="s">
        <v>576</v>
      </c>
      <c r="B542" s="4">
        <v>45800</v>
      </c>
      <c r="C542" s="5">
        <f t="shared" si="16"/>
        <v>45778</v>
      </c>
      <c r="D542" s="3" t="s">
        <v>16</v>
      </c>
      <c r="E542" s="2" t="s">
        <v>17</v>
      </c>
      <c r="F542" s="2" t="s">
        <v>18</v>
      </c>
      <c r="G542" s="2" t="s">
        <v>19</v>
      </c>
      <c r="H542" s="3" t="s">
        <v>20</v>
      </c>
      <c r="I542" s="6">
        <v>42</v>
      </c>
      <c r="J542" s="6">
        <v>43</v>
      </c>
      <c r="K542" s="7">
        <v>0.995</v>
      </c>
      <c r="L542" s="7">
        <v>0.96989805151731179</v>
      </c>
      <c r="M542" s="7">
        <v>0.92488952605699726</v>
      </c>
      <c r="N542" s="8">
        <v>24280</v>
      </c>
      <c r="O542" s="7">
        <f t="shared" si="17"/>
        <v>0.9887364224628058</v>
      </c>
    </row>
    <row r="543" spans="1:15">
      <c r="A543" s="3" t="s">
        <v>577</v>
      </c>
      <c r="B543" s="4">
        <v>45800</v>
      </c>
      <c r="C543" s="5">
        <f t="shared" si="16"/>
        <v>45778</v>
      </c>
      <c r="D543" s="3" t="s">
        <v>22</v>
      </c>
      <c r="E543" s="2" t="s">
        <v>23</v>
      </c>
      <c r="F543" s="2" t="s">
        <v>18</v>
      </c>
      <c r="G543" s="2" t="s">
        <v>19</v>
      </c>
      <c r="H543" s="3" t="s">
        <v>24</v>
      </c>
      <c r="I543" s="6">
        <v>51</v>
      </c>
      <c r="J543" s="6">
        <v>51</v>
      </c>
      <c r="K543" s="7">
        <v>0.92816023449823504</v>
      </c>
      <c r="L543" s="7">
        <v>0.94725425030780341</v>
      </c>
      <c r="M543" s="7">
        <v>0.94603040574427355</v>
      </c>
      <c r="N543" s="8">
        <v>28710</v>
      </c>
      <c r="O543" s="7">
        <f t="shared" si="17"/>
        <v>0.9633342773195841</v>
      </c>
    </row>
    <row r="544" spans="1:15">
      <c r="A544" s="3" t="s">
        <v>578</v>
      </c>
      <c r="B544" s="4">
        <v>45800</v>
      </c>
      <c r="C544" s="5">
        <f t="shared" si="16"/>
        <v>45778</v>
      </c>
      <c r="D544" s="3" t="s">
        <v>22</v>
      </c>
      <c r="E544" s="2" t="s">
        <v>23</v>
      </c>
      <c r="F544" s="2" t="s">
        <v>18</v>
      </c>
      <c r="G544" s="2" t="s">
        <v>19</v>
      </c>
      <c r="H544" s="3" t="s">
        <v>24</v>
      </c>
      <c r="I544" s="6">
        <v>39</v>
      </c>
      <c r="J544" s="6">
        <v>35</v>
      </c>
      <c r="K544" s="7">
        <v>0.91631565895575839</v>
      </c>
      <c r="L544" s="7">
        <v>0.95801271598790827</v>
      </c>
      <c r="M544" s="7">
        <v>0.93395452130002465</v>
      </c>
      <c r="N544" s="8">
        <v>17450</v>
      </c>
      <c r="O544" s="7">
        <f t="shared" si="17"/>
        <v>0.91854608537148974</v>
      </c>
    </row>
    <row r="545" spans="1:15">
      <c r="A545" s="3" t="s">
        <v>579</v>
      </c>
      <c r="B545" s="4">
        <v>45800</v>
      </c>
      <c r="C545" s="5">
        <f t="shared" si="16"/>
        <v>45778</v>
      </c>
      <c r="D545" s="3" t="s">
        <v>26</v>
      </c>
      <c r="E545" s="2" t="s">
        <v>27</v>
      </c>
      <c r="F545" s="2" t="s">
        <v>28</v>
      </c>
      <c r="G545" s="2" t="s">
        <v>29</v>
      </c>
      <c r="H545" s="3" t="s">
        <v>20</v>
      </c>
      <c r="I545" s="6">
        <v>28</v>
      </c>
      <c r="J545" s="6">
        <v>29</v>
      </c>
      <c r="K545" s="7">
        <v>0.91600764424623415</v>
      </c>
      <c r="L545" s="7">
        <v>0.93712068718003749</v>
      </c>
      <c r="M545" s="7">
        <v>0.8953202311072519</v>
      </c>
      <c r="N545" s="8">
        <v>11850</v>
      </c>
      <c r="O545" s="7">
        <f t="shared" si="17"/>
        <v>0.96291977464572898</v>
      </c>
    </row>
    <row r="546" spans="1:15">
      <c r="A546" s="3" t="s">
        <v>580</v>
      </c>
      <c r="B546" s="4">
        <v>45803</v>
      </c>
      <c r="C546" s="5">
        <f t="shared" si="16"/>
        <v>45778</v>
      </c>
      <c r="D546" s="3" t="s">
        <v>39</v>
      </c>
      <c r="E546" s="2" t="s">
        <v>40</v>
      </c>
      <c r="F546" s="2" t="s">
        <v>36</v>
      </c>
      <c r="G546" s="2" t="s">
        <v>37</v>
      </c>
      <c r="H546" s="3" t="s">
        <v>24</v>
      </c>
      <c r="I546" s="6">
        <v>32</v>
      </c>
      <c r="J546" s="6">
        <v>35</v>
      </c>
      <c r="K546" s="7">
        <v>0.94879491030078444</v>
      </c>
      <c r="L546" s="7">
        <v>0.96451114124026782</v>
      </c>
      <c r="M546" s="7">
        <v>0.93406113351704156</v>
      </c>
      <c r="N546" s="8">
        <v>18230</v>
      </c>
      <c r="O546" s="7">
        <f t="shared" si="17"/>
        <v>1.0061876254646445</v>
      </c>
    </row>
    <row r="547" spans="1:15">
      <c r="A547" s="3" t="s">
        <v>581</v>
      </c>
      <c r="B547" s="4">
        <v>45805</v>
      </c>
      <c r="C547" s="5">
        <f t="shared" si="16"/>
        <v>45778</v>
      </c>
      <c r="D547" s="3" t="s">
        <v>22</v>
      </c>
      <c r="E547" s="2" t="s">
        <v>23</v>
      </c>
      <c r="F547" s="2" t="s">
        <v>18</v>
      </c>
      <c r="G547" s="2" t="s">
        <v>19</v>
      </c>
      <c r="H547" s="3" t="s">
        <v>24</v>
      </c>
      <c r="I547" s="6">
        <v>36</v>
      </c>
      <c r="J547" s="6">
        <v>38</v>
      </c>
      <c r="K547" s="7">
        <v>0.89020091664021661</v>
      </c>
      <c r="L547" s="7">
        <v>0.98737579254949703</v>
      </c>
      <c r="M547" s="7">
        <v>0.91079133366126097</v>
      </c>
      <c r="N547" s="8">
        <v>22730</v>
      </c>
      <c r="O547" s="7">
        <f t="shared" si="17"/>
        <v>0.97503708699695324</v>
      </c>
    </row>
    <row r="548" spans="1:15">
      <c r="A548" s="3" t="s">
        <v>582</v>
      </c>
      <c r="B548" s="4">
        <v>45806</v>
      </c>
      <c r="C548" s="5">
        <f t="shared" si="16"/>
        <v>45778</v>
      </c>
      <c r="D548" s="3" t="s">
        <v>16</v>
      </c>
      <c r="E548" s="2" t="s">
        <v>17</v>
      </c>
      <c r="F548" s="2" t="s">
        <v>18</v>
      </c>
      <c r="G548" s="2" t="s">
        <v>19</v>
      </c>
      <c r="H548" s="3" t="s">
        <v>20</v>
      </c>
      <c r="I548" s="6">
        <v>55</v>
      </c>
      <c r="J548" s="6">
        <v>55</v>
      </c>
      <c r="K548" s="7">
        <v>0.91852037717730972</v>
      </c>
      <c r="L548" s="7">
        <v>0.94527751346925559</v>
      </c>
      <c r="M548" s="7">
        <v>0.96757185553835701</v>
      </c>
      <c r="N548" s="8">
        <v>31510</v>
      </c>
      <c r="O548" s="7">
        <f t="shared" si="17"/>
        <v>0.96493609242238731</v>
      </c>
    </row>
    <row r="549" spans="1:15">
      <c r="A549" s="3" t="s">
        <v>583</v>
      </c>
      <c r="B549" s="4">
        <v>45807</v>
      </c>
      <c r="C549" s="5">
        <f t="shared" si="16"/>
        <v>45778</v>
      </c>
      <c r="D549" s="3" t="s">
        <v>16</v>
      </c>
      <c r="E549" s="2" t="s">
        <v>17</v>
      </c>
      <c r="F549" s="2" t="s">
        <v>18</v>
      </c>
      <c r="G549" s="2" t="s">
        <v>19</v>
      </c>
      <c r="H549" s="3" t="s">
        <v>20</v>
      </c>
      <c r="I549" s="6">
        <v>40</v>
      </c>
      <c r="J549" s="6">
        <v>40</v>
      </c>
      <c r="K549" s="7">
        <v>0.95940292660936788</v>
      </c>
      <c r="L549" s="7">
        <v>0.96519478849302953</v>
      </c>
      <c r="M549" s="7">
        <v>0.91091943261573527</v>
      </c>
      <c r="N549" s="8">
        <v>22450</v>
      </c>
      <c r="O549" s="7">
        <f t="shared" si="17"/>
        <v>0.96681383644944352</v>
      </c>
    </row>
    <row r="550" spans="1:15">
      <c r="A550" s="3" t="s">
        <v>584</v>
      </c>
      <c r="B550" s="4">
        <v>45810</v>
      </c>
      <c r="C550" s="5">
        <f t="shared" si="16"/>
        <v>45809</v>
      </c>
      <c r="D550" s="3" t="s">
        <v>16</v>
      </c>
      <c r="E550" s="2" t="s">
        <v>17</v>
      </c>
      <c r="F550" s="2" t="s">
        <v>18</v>
      </c>
      <c r="G550" s="2" t="s">
        <v>19</v>
      </c>
      <c r="H550" s="3" t="s">
        <v>20</v>
      </c>
      <c r="I550" s="6">
        <v>40</v>
      </c>
      <c r="J550" s="6">
        <v>43</v>
      </c>
      <c r="K550" s="7">
        <v>0.89115377559308229</v>
      </c>
      <c r="L550" s="7">
        <v>0.95749543746045584</v>
      </c>
      <c r="M550" s="7">
        <v>0.91244491817970619</v>
      </c>
      <c r="N550" s="8">
        <v>25400</v>
      </c>
      <c r="O550" s="7">
        <f t="shared" si="17"/>
        <v>0.97890174315328016</v>
      </c>
    </row>
    <row r="551" spans="1:15">
      <c r="A551" s="3" t="s">
        <v>585</v>
      </c>
      <c r="B551" s="4">
        <v>45811</v>
      </c>
      <c r="C551" s="5">
        <f t="shared" si="16"/>
        <v>45809</v>
      </c>
      <c r="D551" s="3" t="s">
        <v>26</v>
      </c>
      <c r="E551" s="2" t="s">
        <v>27</v>
      </c>
      <c r="F551" s="2" t="s">
        <v>28</v>
      </c>
      <c r="G551" s="2" t="s">
        <v>29</v>
      </c>
      <c r="H551" s="3" t="s">
        <v>20</v>
      </c>
      <c r="I551" s="6">
        <v>37</v>
      </c>
      <c r="J551" s="6">
        <v>39</v>
      </c>
      <c r="K551" s="7">
        <v>0.86310956460189447</v>
      </c>
      <c r="L551" s="7">
        <v>0.95812178297844031</v>
      </c>
      <c r="M551" s="7">
        <v>0.87804404240032197</v>
      </c>
      <c r="N551" s="8">
        <v>13830</v>
      </c>
      <c r="O551" s="7">
        <f t="shared" si="17"/>
        <v>0.95672608869892573</v>
      </c>
    </row>
    <row r="552" spans="1:15">
      <c r="A552" s="3" t="s">
        <v>586</v>
      </c>
      <c r="B552" s="4">
        <v>45812</v>
      </c>
      <c r="C552" s="5">
        <f t="shared" si="16"/>
        <v>45809</v>
      </c>
      <c r="D552" s="3" t="s">
        <v>22</v>
      </c>
      <c r="E552" s="2" t="s">
        <v>23</v>
      </c>
      <c r="F552" s="2" t="s">
        <v>18</v>
      </c>
      <c r="G552" s="2" t="s">
        <v>19</v>
      </c>
      <c r="H552" s="3" t="s">
        <v>24</v>
      </c>
      <c r="I552" s="6">
        <v>40</v>
      </c>
      <c r="J552" s="6">
        <v>42</v>
      </c>
      <c r="K552" s="7">
        <v>0.87890871954191563</v>
      </c>
      <c r="L552" s="7">
        <v>0.93937904454905241</v>
      </c>
      <c r="M552" s="7">
        <v>0.92306511306948036</v>
      </c>
      <c r="N552" s="8">
        <v>20390</v>
      </c>
      <c r="O552" s="7">
        <f t="shared" si="17"/>
        <v>0.96524705918173292</v>
      </c>
    </row>
    <row r="553" spans="1:15">
      <c r="A553" s="3" t="s">
        <v>587</v>
      </c>
      <c r="B553" s="4">
        <v>45814</v>
      </c>
      <c r="C553" s="5">
        <f t="shared" si="16"/>
        <v>45809</v>
      </c>
      <c r="D553" s="3" t="s">
        <v>34</v>
      </c>
      <c r="E553" s="2" t="s">
        <v>35</v>
      </c>
      <c r="F553" s="2" t="s">
        <v>36</v>
      </c>
      <c r="G553" s="2" t="s">
        <v>37</v>
      </c>
      <c r="H553" s="3" t="s">
        <v>20</v>
      </c>
      <c r="I553" s="6">
        <v>53</v>
      </c>
      <c r="J553" s="6">
        <v>55</v>
      </c>
      <c r="K553" s="7">
        <v>0.89575429062638723</v>
      </c>
      <c r="L553" s="7">
        <v>0.95804050885321435</v>
      </c>
      <c r="M553" s="7">
        <v>0.93215660945081669</v>
      </c>
      <c r="N553" s="8">
        <v>24510</v>
      </c>
      <c r="O553" s="7">
        <f t="shared" si="17"/>
        <v>0.96917031049738378</v>
      </c>
    </row>
    <row r="554" spans="1:15">
      <c r="A554" s="3" t="s">
        <v>588</v>
      </c>
      <c r="B554" s="4">
        <v>45814</v>
      </c>
      <c r="C554" s="5">
        <f t="shared" si="16"/>
        <v>45809</v>
      </c>
      <c r="D554" s="3" t="s">
        <v>34</v>
      </c>
      <c r="E554" s="2" t="s">
        <v>35</v>
      </c>
      <c r="F554" s="2" t="s">
        <v>36</v>
      </c>
      <c r="G554" s="2" t="s">
        <v>37</v>
      </c>
      <c r="H554" s="3" t="s">
        <v>20</v>
      </c>
      <c r="I554" s="6">
        <v>40</v>
      </c>
      <c r="J554" s="6">
        <v>41</v>
      </c>
      <c r="K554" s="7">
        <v>0.95322659589221159</v>
      </c>
      <c r="L554" s="7">
        <v>0.925926956765033</v>
      </c>
      <c r="M554" s="7">
        <v>0.90031531498632522</v>
      </c>
      <c r="N554" s="8">
        <v>21060</v>
      </c>
      <c r="O554" s="7">
        <f t="shared" si="17"/>
        <v>0.9672587554850729</v>
      </c>
    </row>
    <row r="555" spans="1:15">
      <c r="A555" s="3" t="s">
        <v>589</v>
      </c>
      <c r="B555" s="4">
        <v>45817</v>
      </c>
      <c r="C555" s="5">
        <f t="shared" si="16"/>
        <v>45809</v>
      </c>
      <c r="D555" s="3" t="s">
        <v>16</v>
      </c>
      <c r="E555" s="2" t="s">
        <v>17</v>
      </c>
      <c r="F555" s="2" t="s">
        <v>18</v>
      </c>
      <c r="G555" s="2" t="s">
        <v>19</v>
      </c>
      <c r="H555" s="3" t="s">
        <v>20</v>
      </c>
      <c r="I555" s="6">
        <v>53</v>
      </c>
      <c r="J555" s="6">
        <v>58</v>
      </c>
      <c r="K555" s="7">
        <v>0.92793566395874583</v>
      </c>
      <c r="L555" s="7">
        <v>1</v>
      </c>
      <c r="M555" s="7">
        <v>0.94020106129175651</v>
      </c>
      <c r="N555" s="8">
        <v>34920</v>
      </c>
      <c r="O555" s="7">
        <f t="shared" si="17"/>
        <v>1.0077599773046417</v>
      </c>
    </row>
    <row r="556" spans="1:15">
      <c r="A556" s="3" t="s">
        <v>590</v>
      </c>
      <c r="B556" s="4">
        <v>45818</v>
      </c>
      <c r="C556" s="5">
        <f t="shared" si="16"/>
        <v>45809</v>
      </c>
      <c r="D556" s="3" t="s">
        <v>22</v>
      </c>
      <c r="E556" s="2" t="s">
        <v>23</v>
      </c>
      <c r="F556" s="2" t="s">
        <v>18</v>
      </c>
      <c r="G556" s="2" t="s">
        <v>19</v>
      </c>
      <c r="H556" s="3" t="s">
        <v>24</v>
      </c>
      <c r="I556" s="6">
        <v>34</v>
      </c>
      <c r="J556" s="6">
        <v>35</v>
      </c>
      <c r="K556" s="7">
        <v>0.90688106560874027</v>
      </c>
      <c r="L556" s="7">
        <v>0.98493564211712969</v>
      </c>
      <c r="M556" s="7">
        <v>0.97525091537374431</v>
      </c>
      <c r="N556" s="8">
        <v>19580</v>
      </c>
      <c r="O556" s="7">
        <f t="shared" si="17"/>
        <v>0.9812755016768564</v>
      </c>
    </row>
    <row r="557" spans="1:15">
      <c r="A557" s="3" t="s">
        <v>591</v>
      </c>
      <c r="B557" s="4">
        <v>45821</v>
      </c>
      <c r="C557" s="5">
        <f t="shared" si="16"/>
        <v>45809</v>
      </c>
      <c r="D557" s="3" t="s">
        <v>22</v>
      </c>
      <c r="E557" s="2" t="s">
        <v>23</v>
      </c>
      <c r="F557" s="2" t="s">
        <v>18</v>
      </c>
      <c r="G557" s="2" t="s">
        <v>19</v>
      </c>
      <c r="H557" s="3" t="s">
        <v>24</v>
      </c>
      <c r="I557" s="6">
        <v>44</v>
      </c>
      <c r="J557" s="6">
        <v>43</v>
      </c>
      <c r="K557" s="7">
        <v>0.890603438931867</v>
      </c>
      <c r="L557" s="7">
        <v>0.93355174276086028</v>
      </c>
      <c r="M557" s="7">
        <v>0.96780846948350474</v>
      </c>
      <c r="N557" s="8">
        <v>23620</v>
      </c>
      <c r="O557" s="7">
        <f t="shared" si="17"/>
        <v>0.94715440595288769</v>
      </c>
    </row>
    <row r="558" spans="1:15">
      <c r="A558" s="3" t="s">
        <v>592</v>
      </c>
      <c r="B558" s="4">
        <v>45821</v>
      </c>
      <c r="C558" s="5">
        <f t="shared" si="16"/>
        <v>45809</v>
      </c>
      <c r="D558" s="3" t="s">
        <v>26</v>
      </c>
      <c r="E558" s="2" t="s">
        <v>27</v>
      </c>
      <c r="F558" s="2" t="s">
        <v>28</v>
      </c>
      <c r="G558" s="2" t="s">
        <v>29</v>
      </c>
      <c r="H558" s="3" t="s">
        <v>20</v>
      </c>
      <c r="I558" s="6">
        <v>32</v>
      </c>
      <c r="J558" s="6">
        <v>30</v>
      </c>
      <c r="K558" s="7">
        <v>0.91672902970671177</v>
      </c>
      <c r="L558" s="7">
        <v>0.96180045166286832</v>
      </c>
      <c r="M558" s="7">
        <v>0.88230559119663321</v>
      </c>
      <c r="N558" s="8">
        <v>13420</v>
      </c>
      <c r="O558" s="7">
        <f t="shared" si="17"/>
        <v>0.9249134434154348</v>
      </c>
    </row>
    <row r="559" spans="1:15">
      <c r="A559" s="3" t="s">
        <v>593</v>
      </c>
      <c r="B559" s="4">
        <v>45821</v>
      </c>
      <c r="C559" s="5">
        <f t="shared" si="16"/>
        <v>45809</v>
      </c>
      <c r="D559" s="3" t="s">
        <v>43</v>
      </c>
      <c r="E559" s="2" t="s">
        <v>44</v>
      </c>
      <c r="F559" s="2" t="s">
        <v>28</v>
      </c>
      <c r="G559" s="2" t="s">
        <v>29</v>
      </c>
      <c r="H559" s="3" t="s">
        <v>45</v>
      </c>
      <c r="I559" s="6">
        <v>37</v>
      </c>
      <c r="J559" s="6">
        <v>40</v>
      </c>
      <c r="K559" s="7">
        <v>0.93707520594786353</v>
      </c>
      <c r="L559" s="7">
        <v>0.9649455477101051</v>
      </c>
      <c r="M559" s="7">
        <v>0.89436758383948423</v>
      </c>
      <c r="N559" s="8">
        <v>15170</v>
      </c>
      <c r="O559" s="7">
        <f t="shared" si="17"/>
        <v>0.99031658284381086</v>
      </c>
    </row>
    <row r="560" spans="1:15">
      <c r="A560" s="3" t="s">
        <v>594</v>
      </c>
      <c r="B560" s="4">
        <v>45821</v>
      </c>
      <c r="C560" s="5">
        <f t="shared" si="16"/>
        <v>45809</v>
      </c>
      <c r="D560" s="3" t="s">
        <v>43</v>
      </c>
      <c r="E560" s="2" t="s">
        <v>44</v>
      </c>
      <c r="F560" s="2" t="s">
        <v>28</v>
      </c>
      <c r="G560" s="2" t="s">
        <v>29</v>
      </c>
      <c r="H560" s="3" t="s">
        <v>45</v>
      </c>
      <c r="I560" s="6">
        <v>42</v>
      </c>
      <c r="J560" s="6">
        <v>48</v>
      </c>
      <c r="K560" s="7">
        <v>0.995</v>
      </c>
      <c r="L560" s="7">
        <v>1</v>
      </c>
      <c r="M560" s="7">
        <v>0.96810062296161892</v>
      </c>
      <c r="N560" s="8">
        <v>19380</v>
      </c>
      <c r="O560" s="7">
        <f t="shared" si="17"/>
        <v>1.0495129817351809</v>
      </c>
    </row>
    <row r="561" spans="1:15">
      <c r="A561" s="3" t="s">
        <v>595</v>
      </c>
      <c r="B561" s="4">
        <v>45825</v>
      </c>
      <c r="C561" s="5">
        <f t="shared" si="16"/>
        <v>45809</v>
      </c>
      <c r="D561" s="3" t="s">
        <v>43</v>
      </c>
      <c r="E561" s="2" t="s">
        <v>44</v>
      </c>
      <c r="F561" s="2" t="s">
        <v>28</v>
      </c>
      <c r="G561" s="2" t="s">
        <v>29</v>
      </c>
      <c r="H561" s="3" t="s">
        <v>45</v>
      </c>
      <c r="I561" s="6">
        <v>43</v>
      </c>
      <c r="J561" s="6">
        <v>44</v>
      </c>
      <c r="K561" s="7">
        <v>0.9384193531115903</v>
      </c>
      <c r="L561" s="7">
        <v>0.9930507599803623</v>
      </c>
      <c r="M561" s="7">
        <v>0.93036241123792973</v>
      </c>
      <c r="N561" s="8">
        <v>17420</v>
      </c>
      <c r="O561" s="7">
        <f t="shared" si="17"/>
        <v>0.97893726010393334</v>
      </c>
    </row>
    <row r="562" spans="1:15">
      <c r="A562" s="3" t="s">
        <v>596</v>
      </c>
      <c r="B562" s="4">
        <v>45825</v>
      </c>
      <c r="C562" s="5">
        <f t="shared" si="16"/>
        <v>45809</v>
      </c>
      <c r="D562" s="3" t="s">
        <v>43</v>
      </c>
      <c r="E562" s="2" t="s">
        <v>44</v>
      </c>
      <c r="F562" s="2" t="s">
        <v>28</v>
      </c>
      <c r="G562" s="2" t="s">
        <v>29</v>
      </c>
      <c r="H562" s="3" t="s">
        <v>45</v>
      </c>
      <c r="I562" s="6">
        <v>42</v>
      </c>
      <c r="J562" s="6">
        <v>43</v>
      </c>
      <c r="K562" s="7">
        <v>0.96093873774779615</v>
      </c>
      <c r="L562" s="7">
        <v>1</v>
      </c>
      <c r="M562" s="7">
        <v>0.92629974931219117</v>
      </c>
      <c r="N562" s="8">
        <v>18950</v>
      </c>
      <c r="O562" s="7">
        <f t="shared" si="17"/>
        <v>0.98501844382319681</v>
      </c>
    </row>
    <row r="563" spans="1:15">
      <c r="A563" s="3" t="s">
        <v>597</v>
      </c>
      <c r="B563" s="4">
        <v>45826</v>
      </c>
      <c r="C563" s="5">
        <f t="shared" si="16"/>
        <v>45809</v>
      </c>
      <c r="D563" s="3" t="s">
        <v>43</v>
      </c>
      <c r="E563" s="2" t="s">
        <v>44</v>
      </c>
      <c r="F563" s="2" t="s">
        <v>28</v>
      </c>
      <c r="G563" s="2" t="s">
        <v>29</v>
      </c>
      <c r="H563" s="3" t="s">
        <v>45</v>
      </c>
      <c r="I563" s="6">
        <v>31</v>
      </c>
      <c r="J563" s="6">
        <v>38</v>
      </c>
      <c r="K563" s="7">
        <v>0.95424222421908234</v>
      </c>
      <c r="L563" s="7">
        <v>0.97068474917579273</v>
      </c>
      <c r="M563" s="7">
        <v>0.88653305919971415</v>
      </c>
      <c r="N563" s="8">
        <v>14280</v>
      </c>
      <c r="O563" s="7">
        <f t="shared" si="17"/>
        <v>1.0414698802710822</v>
      </c>
    </row>
    <row r="564" spans="1:15">
      <c r="A564" s="3" t="s">
        <v>598</v>
      </c>
      <c r="B564" s="4">
        <v>45826</v>
      </c>
      <c r="C564" s="5">
        <f t="shared" si="16"/>
        <v>45809</v>
      </c>
      <c r="D564" s="3" t="s">
        <v>39</v>
      </c>
      <c r="E564" s="2" t="s">
        <v>40</v>
      </c>
      <c r="F564" s="2" t="s">
        <v>36</v>
      </c>
      <c r="G564" s="2" t="s">
        <v>37</v>
      </c>
      <c r="H564" s="3" t="s">
        <v>24</v>
      </c>
      <c r="I564" s="6">
        <v>43</v>
      </c>
      <c r="J564" s="6">
        <v>49</v>
      </c>
      <c r="K564" s="7">
        <v>0.94944517509967463</v>
      </c>
      <c r="L564" s="7">
        <v>0.9602125197304805</v>
      </c>
      <c r="M564" s="7">
        <v>0.97499034780770943</v>
      </c>
      <c r="N564" s="8">
        <v>20640</v>
      </c>
      <c r="O564" s="7">
        <f t="shared" si="17"/>
        <v>1.0322051947844049</v>
      </c>
    </row>
    <row r="565" spans="1:15">
      <c r="A565" s="3" t="s">
        <v>599</v>
      </c>
      <c r="B565" s="4">
        <v>45827</v>
      </c>
      <c r="C565" s="5">
        <f t="shared" si="16"/>
        <v>45809</v>
      </c>
      <c r="D565" s="3" t="s">
        <v>34</v>
      </c>
      <c r="E565" s="2" t="s">
        <v>35</v>
      </c>
      <c r="F565" s="2" t="s">
        <v>36</v>
      </c>
      <c r="G565" s="2" t="s">
        <v>37</v>
      </c>
      <c r="H565" s="3" t="s">
        <v>20</v>
      </c>
      <c r="I565" s="6">
        <v>42</v>
      </c>
      <c r="J565" s="6">
        <v>48</v>
      </c>
      <c r="K565" s="7">
        <v>0.91417833280043215</v>
      </c>
      <c r="L565" s="7">
        <v>0.93118796907165591</v>
      </c>
      <c r="M565" s="7">
        <v>0.92989345333898743</v>
      </c>
      <c r="N565" s="8">
        <v>20560</v>
      </c>
      <c r="O565" s="7">
        <f t="shared" si="17"/>
        <v>1.0113443263715109</v>
      </c>
    </row>
    <row r="566" spans="1:15">
      <c r="A566" s="3" t="s">
        <v>600</v>
      </c>
      <c r="B566" s="4">
        <v>45828</v>
      </c>
      <c r="C566" s="5">
        <f t="shared" si="16"/>
        <v>45809</v>
      </c>
      <c r="D566" s="3" t="s">
        <v>16</v>
      </c>
      <c r="E566" s="2" t="s">
        <v>17</v>
      </c>
      <c r="F566" s="2" t="s">
        <v>18</v>
      </c>
      <c r="G566" s="2" t="s">
        <v>19</v>
      </c>
      <c r="H566" s="3" t="s">
        <v>20</v>
      </c>
      <c r="I566" s="6">
        <v>52</v>
      </c>
      <c r="J566" s="6">
        <v>56</v>
      </c>
      <c r="K566" s="7">
        <v>0.902684578213375</v>
      </c>
      <c r="L566" s="7">
        <v>0.97731485898908688</v>
      </c>
      <c r="M566" s="7">
        <v>0.995</v>
      </c>
      <c r="N566" s="8">
        <v>35280</v>
      </c>
      <c r="O566" s="7">
        <f t="shared" si="17"/>
        <v>1.0020376041709376</v>
      </c>
    </row>
    <row r="567" spans="1:15">
      <c r="A567" s="3" t="s">
        <v>601</v>
      </c>
      <c r="B567" s="4">
        <v>45828</v>
      </c>
      <c r="C567" s="5">
        <f t="shared" si="16"/>
        <v>45809</v>
      </c>
      <c r="D567" s="3" t="s">
        <v>26</v>
      </c>
      <c r="E567" s="2" t="s">
        <v>27</v>
      </c>
      <c r="F567" s="2" t="s">
        <v>28</v>
      </c>
      <c r="G567" s="2" t="s">
        <v>29</v>
      </c>
      <c r="H567" s="3" t="s">
        <v>20</v>
      </c>
      <c r="I567" s="6">
        <v>48</v>
      </c>
      <c r="J567" s="6">
        <v>45</v>
      </c>
      <c r="K567" s="7">
        <v>0.86030451196085489</v>
      </c>
      <c r="L567" s="7">
        <v>0.92560723562030478</v>
      </c>
      <c r="M567" s="7">
        <v>0.92427724320648985</v>
      </c>
      <c r="N567" s="8">
        <v>16650</v>
      </c>
      <c r="O567" s="7">
        <f t="shared" si="17"/>
        <v>0.91377266197455742</v>
      </c>
    </row>
    <row r="568" spans="1:15">
      <c r="A568" s="3" t="s">
        <v>602</v>
      </c>
      <c r="B568" s="4">
        <v>45828</v>
      </c>
      <c r="C568" s="5">
        <f t="shared" si="16"/>
        <v>45809</v>
      </c>
      <c r="D568" s="3" t="s">
        <v>26</v>
      </c>
      <c r="E568" s="2" t="s">
        <v>27</v>
      </c>
      <c r="F568" s="2" t="s">
        <v>28</v>
      </c>
      <c r="G568" s="2" t="s">
        <v>29</v>
      </c>
      <c r="H568" s="3" t="s">
        <v>20</v>
      </c>
      <c r="I568" s="6">
        <v>43</v>
      </c>
      <c r="J568" s="6">
        <v>43</v>
      </c>
      <c r="K568" s="7">
        <v>0.89415142926375646</v>
      </c>
      <c r="L568" s="7">
        <v>0.93563646095735487</v>
      </c>
      <c r="M568" s="7">
        <v>0.88942958382903303</v>
      </c>
      <c r="N568" s="8">
        <v>18550</v>
      </c>
      <c r="O568" s="7">
        <f t="shared" si="17"/>
        <v>0.94176924322534905</v>
      </c>
    </row>
    <row r="569" spans="1:15">
      <c r="A569" s="3" t="s">
        <v>603</v>
      </c>
      <c r="B569" s="4">
        <v>45828</v>
      </c>
      <c r="C569" s="5">
        <f t="shared" si="16"/>
        <v>45809</v>
      </c>
      <c r="D569" s="3" t="s">
        <v>26</v>
      </c>
      <c r="E569" s="2" t="s">
        <v>27</v>
      </c>
      <c r="F569" s="2" t="s">
        <v>28</v>
      </c>
      <c r="G569" s="2" t="s">
        <v>29</v>
      </c>
      <c r="H569" s="3" t="s">
        <v>20</v>
      </c>
      <c r="I569" s="6">
        <v>31</v>
      </c>
      <c r="J569" s="6">
        <v>29</v>
      </c>
      <c r="K569" s="7">
        <v>0.8813711847961665</v>
      </c>
      <c r="L569" s="7">
        <v>0.94787608045366367</v>
      </c>
      <c r="M569" s="7">
        <v>0.86967805781519059</v>
      </c>
      <c r="N569" s="8">
        <v>10110</v>
      </c>
      <c r="O569" s="7">
        <f t="shared" si="17"/>
        <v>0.9106533682172262</v>
      </c>
    </row>
    <row r="570" spans="1:15">
      <c r="A570" s="3" t="s">
        <v>604</v>
      </c>
      <c r="B570" s="4">
        <v>45828</v>
      </c>
      <c r="C570" s="5">
        <f t="shared" si="16"/>
        <v>45809</v>
      </c>
      <c r="D570" s="3" t="s">
        <v>43</v>
      </c>
      <c r="E570" s="2" t="s">
        <v>44</v>
      </c>
      <c r="F570" s="2" t="s">
        <v>28</v>
      </c>
      <c r="G570" s="2" t="s">
        <v>29</v>
      </c>
      <c r="H570" s="3" t="s">
        <v>45</v>
      </c>
      <c r="I570" s="6">
        <v>38</v>
      </c>
      <c r="J570" s="6">
        <v>46</v>
      </c>
      <c r="K570" s="7">
        <v>0.97836316353487063</v>
      </c>
      <c r="L570" s="7">
        <v>0.98029751684448041</v>
      </c>
      <c r="M570" s="7">
        <v>0.90838872264520576</v>
      </c>
      <c r="N570" s="8">
        <v>19010</v>
      </c>
      <c r="O570" s="7">
        <f t="shared" si="17"/>
        <v>1.053313162939431</v>
      </c>
    </row>
    <row r="571" spans="1:15">
      <c r="A571" s="3" t="s">
        <v>605</v>
      </c>
      <c r="B571" s="4">
        <v>45832</v>
      </c>
      <c r="C571" s="5">
        <f t="shared" si="16"/>
        <v>45809</v>
      </c>
      <c r="D571" s="3" t="s">
        <v>16</v>
      </c>
      <c r="E571" s="2" t="s">
        <v>17</v>
      </c>
      <c r="F571" s="2" t="s">
        <v>18</v>
      </c>
      <c r="G571" s="2" t="s">
        <v>19</v>
      </c>
      <c r="H571" s="3" t="s">
        <v>20</v>
      </c>
      <c r="I571" s="6">
        <v>41</v>
      </c>
      <c r="J571" s="6">
        <v>50</v>
      </c>
      <c r="K571" s="7">
        <v>0.93308442781606793</v>
      </c>
      <c r="L571" s="7">
        <v>0.97310987874185995</v>
      </c>
      <c r="M571" s="7">
        <v>0.91602048901034572</v>
      </c>
      <c r="N571" s="8">
        <v>26850</v>
      </c>
      <c r="O571" s="7">
        <f t="shared" si="17"/>
        <v>1.0424416865673651</v>
      </c>
    </row>
    <row r="572" spans="1:15">
      <c r="A572" s="3" t="s">
        <v>606</v>
      </c>
      <c r="B572" s="4">
        <v>45835</v>
      </c>
      <c r="C572" s="5">
        <f t="shared" si="16"/>
        <v>45809</v>
      </c>
      <c r="D572" s="3" t="s">
        <v>22</v>
      </c>
      <c r="E572" s="2" t="s">
        <v>23</v>
      </c>
      <c r="F572" s="2" t="s">
        <v>18</v>
      </c>
      <c r="G572" s="2" t="s">
        <v>19</v>
      </c>
      <c r="H572" s="3" t="s">
        <v>24</v>
      </c>
      <c r="I572" s="6">
        <v>44</v>
      </c>
      <c r="J572" s="6">
        <v>47</v>
      </c>
      <c r="K572" s="7">
        <v>0.96339075543293806</v>
      </c>
      <c r="L572" s="7">
        <v>0.93308420645741286</v>
      </c>
      <c r="M572" s="7">
        <v>0.995</v>
      </c>
      <c r="N572" s="8">
        <v>27170</v>
      </c>
      <c r="O572" s="7">
        <f t="shared" si="17"/>
        <v>1.0070830470995737</v>
      </c>
    </row>
    <row r="573" spans="1:15">
      <c r="A573" s="3" t="s">
        <v>607</v>
      </c>
      <c r="B573" s="4">
        <v>45835</v>
      </c>
      <c r="C573" s="5">
        <f t="shared" si="16"/>
        <v>45809</v>
      </c>
      <c r="D573" s="3" t="s">
        <v>26</v>
      </c>
      <c r="E573" s="2" t="s">
        <v>27</v>
      </c>
      <c r="F573" s="2" t="s">
        <v>28</v>
      </c>
      <c r="G573" s="2" t="s">
        <v>29</v>
      </c>
      <c r="H573" s="3" t="s">
        <v>20</v>
      </c>
      <c r="I573" s="6">
        <v>35</v>
      </c>
      <c r="J573" s="6">
        <v>31</v>
      </c>
      <c r="K573" s="7">
        <v>0.92958953252759213</v>
      </c>
      <c r="L573" s="7">
        <v>0.94004727858744164</v>
      </c>
      <c r="M573" s="7">
        <v>0.89240401450357054</v>
      </c>
      <c r="N573" s="8">
        <v>13640</v>
      </c>
      <c r="O573" s="7">
        <f t="shared" si="17"/>
        <v>0.9061709921064427</v>
      </c>
    </row>
    <row r="574" spans="1:15">
      <c r="A574" s="3" t="s">
        <v>608</v>
      </c>
      <c r="B574" s="4">
        <v>45835</v>
      </c>
      <c r="C574" s="5">
        <f t="shared" si="16"/>
        <v>45809</v>
      </c>
      <c r="D574" s="3" t="s">
        <v>43</v>
      </c>
      <c r="E574" s="2" t="s">
        <v>44</v>
      </c>
      <c r="F574" s="2" t="s">
        <v>28</v>
      </c>
      <c r="G574" s="2" t="s">
        <v>29</v>
      </c>
      <c r="H574" s="3" t="s">
        <v>45</v>
      </c>
      <c r="I574" s="6">
        <v>37</v>
      </c>
      <c r="J574" s="6">
        <v>37</v>
      </c>
      <c r="K574" s="7">
        <v>0.95990925589692155</v>
      </c>
      <c r="L574" s="7">
        <v>0.96717587334336463</v>
      </c>
      <c r="M574" s="7">
        <v>0.88321967856325634</v>
      </c>
      <c r="N574" s="8">
        <v>17620</v>
      </c>
      <c r="O574" s="7">
        <f t="shared" si="17"/>
        <v>0.96169763068838632</v>
      </c>
    </row>
    <row r="575" spans="1:15">
      <c r="A575" s="3" t="s">
        <v>609</v>
      </c>
      <c r="B575" s="4">
        <v>45835</v>
      </c>
      <c r="C575" s="5">
        <f t="shared" si="16"/>
        <v>45809</v>
      </c>
      <c r="D575" s="3" t="s">
        <v>39</v>
      </c>
      <c r="E575" s="2" t="s">
        <v>40</v>
      </c>
      <c r="F575" s="2" t="s">
        <v>36</v>
      </c>
      <c r="G575" s="2" t="s">
        <v>37</v>
      </c>
      <c r="H575" s="3" t="s">
        <v>24</v>
      </c>
      <c r="I575" s="6">
        <v>32</v>
      </c>
      <c r="J575" s="6">
        <v>31</v>
      </c>
      <c r="K575" s="7">
        <v>0.97725382554663587</v>
      </c>
      <c r="L575" s="7">
        <v>0.96086827419611565</v>
      </c>
      <c r="M575" s="7">
        <v>0.9623222366578722</v>
      </c>
      <c r="N575" s="8">
        <v>16150</v>
      </c>
      <c r="O575" s="7">
        <f t="shared" si="17"/>
        <v>0.9684081448476507</v>
      </c>
    </row>
    <row r="576" spans="1:15">
      <c r="A576" s="3" t="s">
        <v>610</v>
      </c>
      <c r="B576" s="4">
        <v>45838</v>
      </c>
      <c r="C576" s="5">
        <f t="shared" si="16"/>
        <v>45809</v>
      </c>
      <c r="D576" s="3" t="s">
        <v>16</v>
      </c>
      <c r="E576" s="2" t="s">
        <v>17</v>
      </c>
      <c r="F576" s="2" t="s">
        <v>18</v>
      </c>
      <c r="G576" s="2" t="s">
        <v>19</v>
      </c>
      <c r="H576" s="3" t="s">
        <v>20</v>
      </c>
      <c r="I576" s="6">
        <v>34</v>
      </c>
      <c r="J576" s="6">
        <v>36</v>
      </c>
      <c r="K576" s="7">
        <v>0.88204945470752127</v>
      </c>
      <c r="L576" s="7">
        <v>0.99356536733096057</v>
      </c>
      <c r="M576" s="7">
        <v>0.9015004277737283</v>
      </c>
      <c r="N576" s="8">
        <v>20750</v>
      </c>
      <c r="O576" s="7">
        <f t="shared" si="17"/>
        <v>0.97337666609597595</v>
      </c>
    </row>
    <row r="577" spans="1:15">
      <c r="A577" s="3" t="s">
        <v>611</v>
      </c>
      <c r="B577" s="4">
        <v>45840</v>
      </c>
      <c r="C577" s="5">
        <f t="shared" si="16"/>
        <v>45839</v>
      </c>
      <c r="D577" s="3" t="s">
        <v>43</v>
      </c>
      <c r="E577" s="2" t="s">
        <v>44</v>
      </c>
      <c r="F577" s="2" t="s">
        <v>28</v>
      </c>
      <c r="G577" s="2" t="s">
        <v>29</v>
      </c>
      <c r="H577" s="3" t="s">
        <v>45</v>
      </c>
      <c r="I577" s="6">
        <v>39</v>
      </c>
      <c r="J577" s="6">
        <v>43</v>
      </c>
      <c r="K577" s="7">
        <v>0.94905711652380431</v>
      </c>
      <c r="L577" s="7">
        <v>0.97494016623731983</v>
      </c>
      <c r="M577" s="7">
        <v>0.93978149181837478</v>
      </c>
      <c r="N577" s="8">
        <v>16310</v>
      </c>
      <c r="O577" s="7">
        <f t="shared" si="17"/>
        <v>1.0124872434558652</v>
      </c>
    </row>
    <row r="578" spans="1:15">
      <c r="A578" s="3" t="s">
        <v>612</v>
      </c>
      <c r="B578" s="4">
        <v>45841</v>
      </c>
      <c r="C578" s="5">
        <f t="shared" ref="C578:C641" si="18">DATE(YEAR(B578),MONTH(B578),1)</f>
        <v>45839</v>
      </c>
      <c r="D578" s="3" t="s">
        <v>22</v>
      </c>
      <c r="E578" s="2" t="s">
        <v>23</v>
      </c>
      <c r="F578" s="2" t="s">
        <v>18</v>
      </c>
      <c r="G578" s="2" t="s">
        <v>19</v>
      </c>
      <c r="H578" s="3" t="s">
        <v>24</v>
      </c>
      <c r="I578" s="6">
        <v>42</v>
      </c>
      <c r="J578" s="6">
        <v>43</v>
      </c>
      <c r="K578" s="7">
        <v>0.93509804342263336</v>
      </c>
      <c r="L578" s="7">
        <v>0.92433459602175916</v>
      </c>
      <c r="M578" s="7">
        <v>0.96279823772201734</v>
      </c>
      <c r="N578" s="8">
        <v>21160</v>
      </c>
      <c r="O578" s="7">
        <f t="shared" ref="O578:O641" si="19">MIN(J578/I578,1.2)*40%+K578*25%+L578*15%+M578*20%</f>
        <v>0.97450815732713525</v>
      </c>
    </row>
    <row r="579" spans="1:15">
      <c r="A579" s="3" t="s">
        <v>613</v>
      </c>
      <c r="B579" s="4">
        <v>45842</v>
      </c>
      <c r="C579" s="5">
        <f t="shared" si="18"/>
        <v>45839</v>
      </c>
      <c r="D579" s="3" t="s">
        <v>16</v>
      </c>
      <c r="E579" s="2" t="s">
        <v>17</v>
      </c>
      <c r="F579" s="2" t="s">
        <v>18</v>
      </c>
      <c r="G579" s="2" t="s">
        <v>19</v>
      </c>
      <c r="H579" s="3" t="s">
        <v>20</v>
      </c>
      <c r="I579" s="6">
        <v>43</v>
      </c>
      <c r="J579" s="6">
        <v>45</v>
      </c>
      <c r="K579" s="7">
        <v>0.93115130198355778</v>
      </c>
      <c r="L579" s="7">
        <v>0.94039694196267221</v>
      </c>
      <c r="M579" s="7">
        <v>0.96557554019499159</v>
      </c>
      <c r="N579" s="8">
        <v>26500</v>
      </c>
      <c r="O579" s="7">
        <f t="shared" si="19"/>
        <v>0.98556712599207941</v>
      </c>
    </row>
    <row r="580" spans="1:15">
      <c r="A580" s="3" t="s">
        <v>614</v>
      </c>
      <c r="B580" s="4">
        <v>45842</v>
      </c>
      <c r="C580" s="5">
        <f t="shared" si="18"/>
        <v>45839</v>
      </c>
      <c r="D580" s="3" t="s">
        <v>16</v>
      </c>
      <c r="E580" s="2" t="s">
        <v>17</v>
      </c>
      <c r="F580" s="2" t="s">
        <v>18</v>
      </c>
      <c r="G580" s="2" t="s">
        <v>19</v>
      </c>
      <c r="H580" s="3" t="s">
        <v>20</v>
      </c>
      <c r="I580" s="6">
        <v>54</v>
      </c>
      <c r="J580" s="6">
        <v>59</v>
      </c>
      <c r="K580" s="7">
        <v>0.92455748049033881</v>
      </c>
      <c r="L580" s="7">
        <v>0.95360667238407049</v>
      </c>
      <c r="M580" s="7">
        <v>0.9392443813487098</v>
      </c>
      <c r="N580" s="8">
        <v>33760</v>
      </c>
      <c r="O580" s="7">
        <f t="shared" si="19"/>
        <v>0.9990662842869743</v>
      </c>
    </row>
    <row r="581" spans="1:15">
      <c r="A581" s="3" t="s">
        <v>615</v>
      </c>
      <c r="B581" s="4">
        <v>45842</v>
      </c>
      <c r="C581" s="5">
        <f t="shared" si="18"/>
        <v>45839</v>
      </c>
      <c r="D581" s="3" t="s">
        <v>26</v>
      </c>
      <c r="E581" s="2" t="s">
        <v>27</v>
      </c>
      <c r="F581" s="2" t="s">
        <v>28</v>
      </c>
      <c r="G581" s="2" t="s">
        <v>29</v>
      </c>
      <c r="H581" s="3" t="s">
        <v>20</v>
      </c>
      <c r="I581" s="6">
        <v>52</v>
      </c>
      <c r="J581" s="6">
        <v>57</v>
      </c>
      <c r="K581" s="7">
        <v>0.87661077539859034</v>
      </c>
      <c r="L581" s="7">
        <v>0.93305430233045106</v>
      </c>
      <c r="M581" s="7">
        <v>0.87178865034151509</v>
      </c>
      <c r="N581" s="8">
        <v>20340</v>
      </c>
      <c r="O581" s="7">
        <f t="shared" si="19"/>
        <v>0.97193010772905675</v>
      </c>
    </row>
    <row r="582" spans="1:15">
      <c r="A582" s="3" t="s">
        <v>616</v>
      </c>
      <c r="B582" s="4">
        <v>45842</v>
      </c>
      <c r="C582" s="5">
        <f t="shared" si="18"/>
        <v>45839</v>
      </c>
      <c r="D582" s="3" t="s">
        <v>26</v>
      </c>
      <c r="E582" s="2" t="s">
        <v>27</v>
      </c>
      <c r="F582" s="2" t="s">
        <v>28</v>
      </c>
      <c r="G582" s="2" t="s">
        <v>29</v>
      </c>
      <c r="H582" s="3" t="s">
        <v>20</v>
      </c>
      <c r="I582" s="6">
        <v>34</v>
      </c>
      <c r="J582" s="6">
        <v>32</v>
      </c>
      <c r="K582" s="7">
        <v>0.85959354936172994</v>
      </c>
      <c r="L582" s="7">
        <v>0.98636632612479225</v>
      </c>
      <c r="M582" s="7">
        <v>0.95605348831596748</v>
      </c>
      <c r="N582" s="8">
        <v>11810</v>
      </c>
      <c r="O582" s="7">
        <f t="shared" si="19"/>
        <v>0.93053462215763894</v>
      </c>
    </row>
    <row r="583" spans="1:15">
      <c r="A583" s="3" t="s">
        <v>617</v>
      </c>
      <c r="B583" s="4">
        <v>45842</v>
      </c>
      <c r="C583" s="5">
        <f t="shared" si="18"/>
        <v>45839</v>
      </c>
      <c r="D583" s="3" t="s">
        <v>43</v>
      </c>
      <c r="E583" s="2" t="s">
        <v>44</v>
      </c>
      <c r="F583" s="2" t="s">
        <v>28</v>
      </c>
      <c r="G583" s="2" t="s">
        <v>29</v>
      </c>
      <c r="H583" s="3" t="s">
        <v>45</v>
      </c>
      <c r="I583" s="6">
        <v>43</v>
      </c>
      <c r="J583" s="6">
        <v>41</v>
      </c>
      <c r="K583" s="7">
        <v>0.96569216297122362</v>
      </c>
      <c r="L583" s="7">
        <v>1</v>
      </c>
      <c r="M583" s="7">
        <v>0.89184733983496156</v>
      </c>
      <c r="N583" s="8">
        <v>17810</v>
      </c>
      <c r="O583" s="7">
        <f t="shared" si="19"/>
        <v>0.95118785754700763</v>
      </c>
    </row>
    <row r="584" spans="1:15">
      <c r="A584" s="3" t="s">
        <v>618</v>
      </c>
      <c r="B584" s="4">
        <v>45842</v>
      </c>
      <c r="C584" s="5">
        <f t="shared" si="18"/>
        <v>45839</v>
      </c>
      <c r="D584" s="3" t="s">
        <v>43</v>
      </c>
      <c r="E584" s="2" t="s">
        <v>44</v>
      </c>
      <c r="F584" s="2" t="s">
        <v>28</v>
      </c>
      <c r="G584" s="2" t="s">
        <v>29</v>
      </c>
      <c r="H584" s="3" t="s">
        <v>45</v>
      </c>
      <c r="I584" s="6">
        <v>54</v>
      </c>
      <c r="J584" s="6">
        <v>66</v>
      </c>
      <c r="K584" s="7">
        <v>0.95327055670625171</v>
      </c>
      <c r="L584" s="7">
        <v>0.97169849659003715</v>
      </c>
      <c r="M584" s="7">
        <v>0.89414764067722718</v>
      </c>
      <c r="N584" s="8">
        <v>27270</v>
      </c>
      <c r="O584" s="7">
        <f t="shared" si="19"/>
        <v>1.0429019418005139</v>
      </c>
    </row>
    <row r="585" spans="1:15">
      <c r="A585" s="3" t="s">
        <v>619</v>
      </c>
      <c r="B585" s="4">
        <v>45842</v>
      </c>
      <c r="C585" s="5">
        <f t="shared" si="18"/>
        <v>45839</v>
      </c>
      <c r="D585" s="3" t="s">
        <v>39</v>
      </c>
      <c r="E585" s="2" t="s">
        <v>40</v>
      </c>
      <c r="F585" s="2" t="s">
        <v>36</v>
      </c>
      <c r="G585" s="2" t="s">
        <v>37</v>
      </c>
      <c r="H585" s="3" t="s">
        <v>24</v>
      </c>
      <c r="I585" s="6">
        <v>33</v>
      </c>
      <c r="J585" s="6">
        <v>34</v>
      </c>
      <c r="K585" s="7">
        <v>0.995</v>
      </c>
      <c r="L585" s="7">
        <v>0.97652678529612313</v>
      </c>
      <c r="M585" s="7">
        <v>0.99064967470940046</v>
      </c>
      <c r="N585" s="8">
        <v>18110</v>
      </c>
      <c r="O585" s="7">
        <f t="shared" si="19"/>
        <v>1.0054801648575107</v>
      </c>
    </row>
    <row r="586" spans="1:15">
      <c r="A586" s="3" t="s">
        <v>620</v>
      </c>
      <c r="B586" s="4">
        <v>45845</v>
      </c>
      <c r="C586" s="5">
        <f t="shared" si="18"/>
        <v>45839</v>
      </c>
      <c r="D586" s="3" t="s">
        <v>26</v>
      </c>
      <c r="E586" s="2" t="s">
        <v>27</v>
      </c>
      <c r="F586" s="2" t="s">
        <v>28</v>
      </c>
      <c r="G586" s="2" t="s">
        <v>29</v>
      </c>
      <c r="H586" s="3" t="s">
        <v>20</v>
      </c>
      <c r="I586" s="6">
        <v>35</v>
      </c>
      <c r="J586" s="6">
        <v>40</v>
      </c>
      <c r="K586" s="7">
        <v>0.90413156838025077</v>
      </c>
      <c r="L586" s="7">
        <v>0.95855311609414562</v>
      </c>
      <c r="M586" s="7">
        <v>0.8618108266014104</v>
      </c>
      <c r="N586" s="8">
        <v>16250</v>
      </c>
      <c r="O586" s="7">
        <f t="shared" si="19"/>
        <v>0.9993208819723236</v>
      </c>
    </row>
    <row r="587" spans="1:15">
      <c r="A587" s="3" t="s">
        <v>621</v>
      </c>
      <c r="B587" s="4">
        <v>45845</v>
      </c>
      <c r="C587" s="5">
        <f t="shared" si="18"/>
        <v>45839</v>
      </c>
      <c r="D587" s="3" t="s">
        <v>39</v>
      </c>
      <c r="E587" s="2" t="s">
        <v>40</v>
      </c>
      <c r="F587" s="2" t="s">
        <v>36</v>
      </c>
      <c r="G587" s="2" t="s">
        <v>37</v>
      </c>
      <c r="H587" s="3" t="s">
        <v>24</v>
      </c>
      <c r="I587" s="6">
        <v>51</v>
      </c>
      <c r="J587" s="6">
        <v>54</v>
      </c>
      <c r="K587" s="7">
        <v>0.995</v>
      </c>
      <c r="L587" s="7">
        <v>0.98763862848580808</v>
      </c>
      <c r="M587" s="7">
        <v>0.94646528173300992</v>
      </c>
      <c r="N587" s="8">
        <v>28380</v>
      </c>
      <c r="O587" s="7">
        <f t="shared" si="19"/>
        <v>1.0097182623841792</v>
      </c>
    </row>
    <row r="588" spans="1:15">
      <c r="A588" s="3" t="s">
        <v>622</v>
      </c>
      <c r="B588" s="4">
        <v>45847</v>
      </c>
      <c r="C588" s="5">
        <f t="shared" si="18"/>
        <v>45839</v>
      </c>
      <c r="D588" s="3" t="s">
        <v>34</v>
      </c>
      <c r="E588" s="2" t="s">
        <v>35</v>
      </c>
      <c r="F588" s="2" t="s">
        <v>36</v>
      </c>
      <c r="G588" s="2" t="s">
        <v>37</v>
      </c>
      <c r="H588" s="3" t="s">
        <v>20</v>
      </c>
      <c r="I588" s="6">
        <v>42</v>
      </c>
      <c r="J588" s="6">
        <v>39</v>
      </c>
      <c r="K588" s="7">
        <v>0.9412071620313005</v>
      </c>
      <c r="L588" s="7">
        <v>0.94045667214176576</v>
      </c>
      <c r="M588" s="7">
        <v>0.9746398270129103</v>
      </c>
      <c r="N588" s="8">
        <v>18650</v>
      </c>
      <c r="O588" s="7">
        <f t="shared" si="19"/>
        <v>0.94272682816024356</v>
      </c>
    </row>
    <row r="589" spans="1:15">
      <c r="A589" s="3" t="s">
        <v>623</v>
      </c>
      <c r="B589" s="4">
        <v>45849</v>
      </c>
      <c r="C589" s="5">
        <f t="shared" si="18"/>
        <v>45839</v>
      </c>
      <c r="D589" s="3" t="s">
        <v>26</v>
      </c>
      <c r="E589" s="2" t="s">
        <v>27</v>
      </c>
      <c r="F589" s="2" t="s">
        <v>28</v>
      </c>
      <c r="G589" s="2" t="s">
        <v>29</v>
      </c>
      <c r="H589" s="3" t="s">
        <v>20</v>
      </c>
      <c r="I589" s="6">
        <v>43</v>
      </c>
      <c r="J589" s="6">
        <v>44</v>
      </c>
      <c r="K589" s="7">
        <v>0.95088079354954747</v>
      </c>
      <c r="L589" s="7">
        <v>0.99511104675740969</v>
      </c>
      <c r="M589" s="7">
        <v>0.88588086442959368</v>
      </c>
      <c r="N589" s="8">
        <v>17780</v>
      </c>
      <c r="O589" s="7">
        <f t="shared" si="19"/>
        <v>0.97346535386831246</v>
      </c>
    </row>
    <row r="590" spans="1:15">
      <c r="A590" s="3" t="s">
        <v>624</v>
      </c>
      <c r="B590" s="4">
        <v>45849</v>
      </c>
      <c r="C590" s="5">
        <f t="shared" si="18"/>
        <v>45839</v>
      </c>
      <c r="D590" s="3" t="s">
        <v>43</v>
      </c>
      <c r="E590" s="2" t="s">
        <v>44</v>
      </c>
      <c r="F590" s="2" t="s">
        <v>28</v>
      </c>
      <c r="G590" s="2" t="s">
        <v>29</v>
      </c>
      <c r="H590" s="3" t="s">
        <v>45</v>
      </c>
      <c r="I590" s="6">
        <v>33</v>
      </c>
      <c r="J590" s="6">
        <v>33</v>
      </c>
      <c r="K590" s="7">
        <v>0.92412877965147777</v>
      </c>
      <c r="L590" s="7">
        <v>0.99916400245013082</v>
      </c>
      <c r="M590" s="7">
        <v>0.91125624463641741</v>
      </c>
      <c r="N590" s="8">
        <v>14650</v>
      </c>
      <c r="O590" s="7">
        <f t="shared" si="19"/>
        <v>0.96315804420767259</v>
      </c>
    </row>
    <row r="591" spans="1:15">
      <c r="A591" s="3" t="s">
        <v>625</v>
      </c>
      <c r="B591" s="4">
        <v>45852</v>
      </c>
      <c r="C591" s="5">
        <f t="shared" si="18"/>
        <v>45839</v>
      </c>
      <c r="D591" s="3" t="s">
        <v>16</v>
      </c>
      <c r="E591" s="2" t="s">
        <v>17</v>
      </c>
      <c r="F591" s="2" t="s">
        <v>18</v>
      </c>
      <c r="G591" s="2" t="s">
        <v>19</v>
      </c>
      <c r="H591" s="3" t="s">
        <v>20</v>
      </c>
      <c r="I591" s="6">
        <v>30</v>
      </c>
      <c r="J591" s="6">
        <v>31</v>
      </c>
      <c r="K591" s="7">
        <v>0.98197560794224792</v>
      </c>
      <c r="L591" s="7">
        <v>0.98358138356347113</v>
      </c>
      <c r="M591" s="7">
        <v>0.91588144367778135</v>
      </c>
      <c r="N591" s="8">
        <v>17520</v>
      </c>
      <c r="O591" s="7">
        <f t="shared" si="19"/>
        <v>0.98954073158897227</v>
      </c>
    </row>
    <row r="592" spans="1:15">
      <c r="A592" s="3" t="s">
        <v>626</v>
      </c>
      <c r="B592" s="4">
        <v>45852</v>
      </c>
      <c r="C592" s="5">
        <f t="shared" si="18"/>
        <v>45839</v>
      </c>
      <c r="D592" s="3" t="s">
        <v>22</v>
      </c>
      <c r="E592" s="2" t="s">
        <v>23</v>
      </c>
      <c r="F592" s="2" t="s">
        <v>18</v>
      </c>
      <c r="G592" s="2" t="s">
        <v>19</v>
      </c>
      <c r="H592" s="3" t="s">
        <v>24</v>
      </c>
      <c r="I592" s="6">
        <v>46</v>
      </c>
      <c r="J592" s="6">
        <v>51</v>
      </c>
      <c r="K592" s="7">
        <v>0.95865306164781783</v>
      </c>
      <c r="L592" s="7">
        <v>0.96909264407945861</v>
      </c>
      <c r="M592" s="7">
        <v>0.89442734096977128</v>
      </c>
      <c r="N592" s="8">
        <v>30350</v>
      </c>
      <c r="O592" s="7">
        <f t="shared" si="19"/>
        <v>1.0073908910873928</v>
      </c>
    </row>
    <row r="593" spans="1:15">
      <c r="A593" s="3" t="s">
        <v>627</v>
      </c>
      <c r="B593" s="4">
        <v>45853</v>
      </c>
      <c r="C593" s="5">
        <f t="shared" si="18"/>
        <v>45839</v>
      </c>
      <c r="D593" s="3" t="s">
        <v>26</v>
      </c>
      <c r="E593" s="2" t="s">
        <v>27</v>
      </c>
      <c r="F593" s="2" t="s">
        <v>28</v>
      </c>
      <c r="G593" s="2" t="s">
        <v>29</v>
      </c>
      <c r="H593" s="3" t="s">
        <v>20</v>
      </c>
      <c r="I593" s="6">
        <v>39</v>
      </c>
      <c r="J593" s="6">
        <v>39</v>
      </c>
      <c r="K593" s="7">
        <v>0.95078095086154846</v>
      </c>
      <c r="L593" s="7">
        <v>0.93740180851930621</v>
      </c>
      <c r="M593" s="7">
        <v>0.89788232606861074</v>
      </c>
      <c r="N593" s="8">
        <v>16550</v>
      </c>
      <c r="O593" s="7">
        <f t="shared" si="19"/>
        <v>0.95788197420700527</v>
      </c>
    </row>
    <row r="594" spans="1:15">
      <c r="A594" s="3" t="s">
        <v>628</v>
      </c>
      <c r="B594" s="4">
        <v>45854</v>
      </c>
      <c r="C594" s="5">
        <f t="shared" si="18"/>
        <v>45839</v>
      </c>
      <c r="D594" s="3" t="s">
        <v>16</v>
      </c>
      <c r="E594" s="2" t="s">
        <v>17</v>
      </c>
      <c r="F594" s="2" t="s">
        <v>18</v>
      </c>
      <c r="G594" s="2" t="s">
        <v>19</v>
      </c>
      <c r="H594" s="3" t="s">
        <v>20</v>
      </c>
      <c r="I594" s="6">
        <v>54</v>
      </c>
      <c r="J594" s="6">
        <v>56</v>
      </c>
      <c r="K594" s="7">
        <v>0.94336375553383511</v>
      </c>
      <c r="L594" s="7">
        <v>0.97770665631429576</v>
      </c>
      <c r="M594" s="7">
        <v>0.93027719156229705</v>
      </c>
      <c r="N594" s="8">
        <v>35030</v>
      </c>
      <c r="O594" s="7">
        <f t="shared" si="19"/>
        <v>0.98336719045787735</v>
      </c>
    </row>
    <row r="595" spans="1:15">
      <c r="A595" s="3" t="s">
        <v>629</v>
      </c>
      <c r="B595" s="4">
        <v>45856</v>
      </c>
      <c r="C595" s="5">
        <f t="shared" si="18"/>
        <v>45839</v>
      </c>
      <c r="D595" s="3" t="s">
        <v>16</v>
      </c>
      <c r="E595" s="2" t="s">
        <v>17</v>
      </c>
      <c r="F595" s="2" t="s">
        <v>18</v>
      </c>
      <c r="G595" s="2" t="s">
        <v>19</v>
      </c>
      <c r="H595" s="3" t="s">
        <v>20</v>
      </c>
      <c r="I595" s="6">
        <v>50</v>
      </c>
      <c r="J595" s="6">
        <v>54</v>
      </c>
      <c r="K595" s="7">
        <v>0.93060949359204226</v>
      </c>
      <c r="L595" s="7">
        <v>0.96304357696320719</v>
      </c>
      <c r="M595" s="7">
        <v>0.93264484733720454</v>
      </c>
      <c r="N595" s="8">
        <v>33690</v>
      </c>
      <c r="O595" s="7">
        <f t="shared" si="19"/>
        <v>0.99563787940993265</v>
      </c>
    </row>
    <row r="596" spans="1:15">
      <c r="A596" s="3" t="s">
        <v>630</v>
      </c>
      <c r="B596" s="4">
        <v>45856</v>
      </c>
      <c r="C596" s="5">
        <f t="shared" si="18"/>
        <v>45839</v>
      </c>
      <c r="D596" s="3" t="s">
        <v>22</v>
      </c>
      <c r="E596" s="2" t="s">
        <v>23</v>
      </c>
      <c r="F596" s="2" t="s">
        <v>18</v>
      </c>
      <c r="G596" s="2" t="s">
        <v>19</v>
      </c>
      <c r="H596" s="3" t="s">
        <v>24</v>
      </c>
      <c r="I596" s="6">
        <v>41</v>
      </c>
      <c r="J596" s="6">
        <v>49</v>
      </c>
      <c r="K596" s="7">
        <v>0.96598456994374549</v>
      </c>
      <c r="L596" s="7">
        <v>0.97710291050348597</v>
      </c>
      <c r="M596" s="7">
        <v>0.9343741408671159</v>
      </c>
      <c r="N596" s="8">
        <v>24510</v>
      </c>
      <c r="O596" s="7">
        <f t="shared" si="19"/>
        <v>1.0529851877226872</v>
      </c>
    </row>
    <row r="597" spans="1:15">
      <c r="A597" s="3" t="s">
        <v>631</v>
      </c>
      <c r="B597" s="4">
        <v>45856</v>
      </c>
      <c r="C597" s="5">
        <f t="shared" si="18"/>
        <v>45839</v>
      </c>
      <c r="D597" s="3" t="s">
        <v>22</v>
      </c>
      <c r="E597" s="2" t="s">
        <v>23</v>
      </c>
      <c r="F597" s="2" t="s">
        <v>18</v>
      </c>
      <c r="G597" s="2" t="s">
        <v>19</v>
      </c>
      <c r="H597" s="3" t="s">
        <v>24</v>
      </c>
      <c r="I597" s="6">
        <v>53</v>
      </c>
      <c r="J597" s="6">
        <v>59</v>
      </c>
      <c r="K597" s="7">
        <v>0.90175674772341852</v>
      </c>
      <c r="L597" s="7">
        <v>0.94612970502228566</v>
      </c>
      <c r="M597" s="7">
        <v>0.96154548917851035</v>
      </c>
      <c r="N597" s="8">
        <v>31880</v>
      </c>
      <c r="O597" s="7">
        <f t="shared" si="19"/>
        <v>1.0049507593878242</v>
      </c>
    </row>
    <row r="598" spans="1:15">
      <c r="A598" s="3" t="s">
        <v>632</v>
      </c>
      <c r="B598" s="4">
        <v>45856</v>
      </c>
      <c r="C598" s="5">
        <f t="shared" si="18"/>
        <v>45839</v>
      </c>
      <c r="D598" s="3" t="s">
        <v>26</v>
      </c>
      <c r="E598" s="2" t="s">
        <v>27</v>
      </c>
      <c r="F598" s="2" t="s">
        <v>28</v>
      </c>
      <c r="G598" s="2" t="s">
        <v>29</v>
      </c>
      <c r="H598" s="3" t="s">
        <v>20</v>
      </c>
      <c r="I598" s="6">
        <v>32</v>
      </c>
      <c r="J598" s="6">
        <v>30</v>
      </c>
      <c r="K598" s="7">
        <v>0.90601883007787809</v>
      </c>
      <c r="L598" s="7">
        <v>0.92238491128926559</v>
      </c>
      <c r="M598" s="7">
        <v>0.93719266151190439</v>
      </c>
      <c r="N598" s="8">
        <v>13480</v>
      </c>
      <c r="O598" s="7">
        <f t="shared" si="19"/>
        <v>0.92730097651524024</v>
      </c>
    </row>
    <row r="599" spans="1:15">
      <c r="A599" s="3" t="s">
        <v>633</v>
      </c>
      <c r="B599" s="4">
        <v>45856</v>
      </c>
      <c r="C599" s="5">
        <f t="shared" si="18"/>
        <v>45839</v>
      </c>
      <c r="D599" s="3" t="s">
        <v>39</v>
      </c>
      <c r="E599" s="2" t="s">
        <v>40</v>
      </c>
      <c r="F599" s="2" t="s">
        <v>36</v>
      </c>
      <c r="G599" s="2" t="s">
        <v>37</v>
      </c>
      <c r="H599" s="3" t="s">
        <v>24</v>
      </c>
      <c r="I599" s="6">
        <v>46</v>
      </c>
      <c r="J599" s="6">
        <v>47</v>
      </c>
      <c r="K599" s="7">
        <v>0.95049828439250916</v>
      </c>
      <c r="L599" s="7">
        <v>0.9892679382206736</v>
      </c>
      <c r="M599" s="7">
        <v>0.98975702761876927</v>
      </c>
      <c r="N599" s="8">
        <v>22010</v>
      </c>
      <c r="O599" s="7">
        <f t="shared" si="19"/>
        <v>0.99266181952889532</v>
      </c>
    </row>
    <row r="600" spans="1:15">
      <c r="A600" s="3" t="s">
        <v>634</v>
      </c>
      <c r="B600" s="4">
        <v>45859</v>
      </c>
      <c r="C600" s="5">
        <f t="shared" si="18"/>
        <v>45839</v>
      </c>
      <c r="D600" s="3" t="s">
        <v>16</v>
      </c>
      <c r="E600" s="2" t="s">
        <v>17</v>
      </c>
      <c r="F600" s="2" t="s">
        <v>18</v>
      </c>
      <c r="G600" s="2" t="s">
        <v>19</v>
      </c>
      <c r="H600" s="3" t="s">
        <v>20</v>
      </c>
      <c r="I600" s="6">
        <v>30</v>
      </c>
      <c r="J600" s="6">
        <v>29</v>
      </c>
      <c r="K600" s="7">
        <v>0.91786014406275152</v>
      </c>
      <c r="L600" s="7">
        <v>0.97185869944325409</v>
      </c>
      <c r="M600" s="7">
        <v>0.92678575977277167</v>
      </c>
      <c r="N600" s="8">
        <v>16270</v>
      </c>
      <c r="O600" s="7">
        <f t="shared" si="19"/>
        <v>0.94726765955339709</v>
      </c>
    </row>
    <row r="601" spans="1:15">
      <c r="A601" s="3" t="s">
        <v>635</v>
      </c>
      <c r="B601" s="4">
        <v>45861</v>
      </c>
      <c r="C601" s="5">
        <f t="shared" si="18"/>
        <v>45839</v>
      </c>
      <c r="D601" s="3" t="s">
        <v>26</v>
      </c>
      <c r="E601" s="2" t="s">
        <v>27</v>
      </c>
      <c r="F601" s="2" t="s">
        <v>28</v>
      </c>
      <c r="G601" s="2" t="s">
        <v>29</v>
      </c>
      <c r="H601" s="3" t="s">
        <v>20</v>
      </c>
      <c r="I601" s="6">
        <v>28</v>
      </c>
      <c r="J601" s="6">
        <v>25</v>
      </c>
      <c r="K601" s="7">
        <v>0.90122625136580403</v>
      </c>
      <c r="L601" s="7">
        <v>0.95099800702263315</v>
      </c>
      <c r="M601" s="7">
        <v>0.91753629130678993</v>
      </c>
      <c r="N601" s="8">
        <v>10120</v>
      </c>
      <c r="O601" s="7">
        <f t="shared" si="19"/>
        <v>0.90860637929906107</v>
      </c>
    </row>
    <row r="602" spans="1:15">
      <c r="A602" s="3" t="s">
        <v>636</v>
      </c>
      <c r="B602" s="4">
        <v>45863</v>
      </c>
      <c r="C602" s="5">
        <f t="shared" si="18"/>
        <v>45839</v>
      </c>
      <c r="D602" s="3" t="s">
        <v>43</v>
      </c>
      <c r="E602" s="2" t="s">
        <v>44</v>
      </c>
      <c r="F602" s="2" t="s">
        <v>28</v>
      </c>
      <c r="G602" s="2" t="s">
        <v>29</v>
      </c>
      <c r="H602" s="3" t="s">
        <v>45</v>
      </c>
      <c r="I602" s="6">
        <v>53</v>
      </c>
      <c r="J602" s="6">
        <v>55</v>
      </c>
      <c r="K602" s="7">
        <v>0.93266302463568984</v>
      </c>
      <c r="L602" s="7">
        <v>0.95982665801861566</v>
      </c>
      <c r="M602" s="7">
        <v>0.90494478417392432</v>
      </c>
      <c r="N602" s="8">
        <v>25600</v>
      </c>
      <c r="O602" s="7">
        <f t="shared" si="19"/>
        <v>0.97322305131914122</v>
      </c>
    </row>
    <row r="603" spans="1:15">
      <c r="A603" s="3" t="s">
        <v>637</v>
      </c>
      <c r="B603" s="4">
        <v>45863</v>
      </c>
      <c r="C603" s="5">
        <f t="shared" si="18"/>
        <v>45839</v>
      </c>
      <c r="D603" s="3" t="s">
        <v>34</v>
      </c>
      <c r="E603" s="2" t="s">
        <v>35</v>
      </c>
      <c r="F603" s="2" t="s">
        <v>36</v>
      </c>
      <c r="G603" s="2" t="s">
        <v>37</v>
      </c>
      <c r="H603" s="3" t="s">
        <v>20</v>
      </c>
      <c r="I603" s="6">
        <v>51</v>
      </c>
      <c r="J603" s="6">
        <v>44</v>
      </c>
      <c r="K603" s="7">
        <v>0.91814608882532767</v>
      </c>
      <c r="L603" s="7">
        <v>0.96241013086520055</v>
      </c>
      <c r="M603" s="7">
        <v>0.90478827316463084</v>
      </c>
      <c r="N603" s="8">
        <v>21240</v>
      </c>
      <c r="O603" s="7">
        <f t="shared" si="19"/>
        <v>0.89995373568472448</v>
      </c>
    </row>
    <row r="604" spans="1:15">
      <c r="A604" s="3" t="s">
        <v>638</v>
      </c>
      <c r="B604" s="4">
        <v>45863</v>
      </c>
      <c r="C604" s="5">
        <f t="shared" si="18"/>
        <v>45839</v>
      </c>
      <c r="D604" s="3" t="s">
        <v>39</v>
      </c>
      <c r="E604" s="2" t="s">
        <v>40</v>
      </c>
      <c r="F604" s="2" t="s">
        <v>36</v>
      </c>
      <c r="G604" s="2" t="s">
        <v>37</v>
      </c>
      <c r="H604" s="3" t="s">
        <v>24</v>
      </c>
      <c r="I604" s="6">
        <v>30</v>
      </c>
      <c r="J604" s="6">
        <v>31</v>
      </c>
      <c r="K604" s="7">
        <v>0.9624804728602453</v>
      </c>
      <c r="L604" s="7">
        <v>0.99602169340298397</v>
      </c>
      <c r="M604" s="7">
        <v>0.99173277868685727</v>
      </c>
      <c r="N604" s="8">
        <v>14050</v>
      </c>
      <c r="O604" s="7">
        <f t="shared" si="19"/>
        <v>1.0017032612962138</v>
      </c>
    </row>
    <row r="605" spans="1:15">
      <c r="A605" s="3" t="s">
        <v>639</v>
      </c>
      <c r="B605" s="4">
        <v>45867</v>
      </c>
      <c r="C605" s="5">
        <f t="shared" si="18"/>
        <v>45839</v>
      </c>
      <c r="D605" s="3" t="s">
        <v>26</v>
      </c>
      <c r="E605" s="2" t="s">
        <v>27</v>
      </c>
      <c r="F605" s="2" t="s">
        <v>28</v>
      </c>
      <c r="G605" s="2" t="s">
        <v>29</v>
      </c>
      <c r="H605" s="3" t="s">
        <v>20</v>
      </c>
      <c r="I605" s="6">
        <v>50</v>
      </c>
      <c r="J605" s="6">
        <v>51</v>
      </c>
      <c r="K605" s="7">
        <v>0.90767484089968631</v>
      </c>
      <c r="L605" s="7">
        <v>0.94032994862458541</v>
      </c>
      <c r="M605" s="7">
        <v>0.91167976219931646</v>
      </c>
      <c r="N605" s="8">
        <v>20580</v>
      </c>
      <c r="O605" s="7">
        <f t="shared" si="19"/>
        <v>0.95830415495847276</v>
      </c>
    </row>
    <row r="606" spans="1:15">
      <c r="A606" s="3" t="s">
        <v>640</v>
      </c>
      <c r="B606" s="4">
        <v>45868</v>
      </c>
      <c r="C606" s="5">
        <f t="shared" si="18"/>
        <v>45839</v>
      </c>
      <c r="D606" s="3" t="s">
        <v>26</v>
      </c>
      <c r="E606" s="2" t="s">
        <v>27</v>
      </c>
      <c r="F606" s="2" t="s">
        <v>28</v>
      </c>
      <c r="G606" s="2" t="s">
        <v>29</v>
      </c>
      <c r="H606" s="3" t="s">
        <v>20</v>
      </c>
      <c r="I606" s="6">
        <v>45</v>
      </c>
      <c r="J606" s="6">
        <v>44</v>
      </c>
      <c r="K606" s="7">
        <v>0.94446158006369396</v>
      </c>
      <c r="L606" s="7">
        <v>0.96232517769599513</v>
      </c>
      <c r="M606" s="7">
        <v>0.88074721865872585</v>
      </c>
      <c r="N606" s="8">
        <v>19820</v>
      </c>
      <c r="O606" s="7">
        <f t="shared" si="19"/>
        <v>0.94772472651317896</v>
      </c>
    </row>
    <row r="607" spans="1:15">
      <c r="A607" s="3" t="s">
        <v>641</v>
      </c>
      <c r="B607" s="4">
        <v>45868</v>
      </c>
      <c r="C607" s="5">
        <f t="shared" si="18"/>
        <v>45839</v>
      </c>
      <c r="D607" s="3" t="s">
        <v>43</v>
      </c>
      <c r="E607" s="2" t="s">
        <v>44</v>
      </c>
      <c r="F607" s="2" t="s">
        <v>28</v>
      </c>
      <c r="G607" s="2" t="s">
        <v>29</v>
      </c>
      <c r="H607" s="3" t="s">
        <v>45</v>
      </c>
      <c r="I607" s="6">
        <v>48</v>
      </c>
      <c r="J607" s="6">
        <v>48</v>
      </c>
      <c r="K607" s="7">
        <v>0.93028359999130272</v>
      </c>
      <c r="L607" s="7">
        <v>0.98078803599150011</v>
      </c>
      <c r="M607" s="7">
        <v>0.84988166168291535</v>
      </c>
      <c r="N607" s="8">
        <v>19830</v>
      </c>
      <c r="O607" s="7">
        <f t="shared" si="19"/>
        <v>0.94966543773313372</v>
      </c>
    </row>
    <row r="608" spans="1:15">
      <c r="A608" s="3" t="s">
        <v>642</v>
      </c>
      <c r="B608" s="4">
        <v>45869</v>
      </c>
      <c r="C608" s="5">
        <f t="shared" si="18"/>
        <v>45839</v>
      </c>
      <c r="D608" s="3" t="s">
        <v>34</v>
      </c>
      <c r="E608" s="2" t="s">
        <v>35</v>
      </c>
      <c r="F608" s="2" t="s">
        <v>36</v>
      </c>
      <c r="G608" s="2" t="s">
        <v>37</v>
      </c>
      <c r="H608" s="3" t="s">
        <v>20</v>
      </c>
      <c r="I608" s="6">
        <v>32</v>
      </c>
      <c r="J608" s="6">
        <v>30</v>
      </c>
      <c r="K608" s="7">
        <v>0.92672940429606199</v>
      </c>
      <c r="L608" s="7">
        <v>0.9970801192546167</v>
      </c>
      <c r="M608" s="7">
        <v>0.9358005550993409</v>
      </c>
      <c r="N608" s="8">
        <v>13830</v>
      </c>
      <c r="O608" s="7">
        <f t="shared" si="19"/>
        <v>0.94340447998207622</v>
      </c>
    </row>
    <row r="609" spans="1:15">
      <c r="A609" s="3" t="s">
        <v>643</v>
      </c>
      <c r="B609" s="4">
        <v>45869</v>
      </c>
      <c r="C609" s="5">
        <f t="shared" si="18"/>
        <v>45839</v>
      </c>
      <c r="D609" s="3" t="s">
        <v>39</v>
      </c>
      <c r="E609" s="2" t="s">
        <v>40</v>
      </c>
      <c r="F609" s="2" t="s">
        <v>36</v>
      </c>
      <c r="G609" s="2" t="s">
        <v>37</v>
      </c>
      <c r="H609" s="3" t="s">
        <v>24</v>
      </c>
      <c r="I609" s="6">
        <v>53</v>
      </c>
      <c r="J609" s="6">
        <v>56</v>
      </c>
      <c r="K609" s="7">
        <v>0.995</v>
      </c>
      <c r="L609" s="7">
        <v>0.95652400489269906</v>
      </c>
      <c r="M609" s="7">
        <v>0.97812098162382122</v>
      </c>
      <c r="N609" s="8">
        <v>27180</v>
      </c>
      <c r="O609" s="7">
        <f t="shared" si="19"/>
        <v>1.0104943064926313</v>
      </c>
    </row>
    <row r="610" spans="1:15">
      <c r="A610" s="3" t="s">
        <v>644</v>
      </c>
      <c r="B610" s="4">
        <v>45870</v>
      </c>
      <c r="C610" s="5">
        <f t="shared" si="18"/>
        <v>45870</v>
      </c>
      <c r="D610" s="3" t="s">
        <v>16</v>
      </c>
      <c r="E610" s="2" t="s">
        <v>17</v>
      </c>
      <c r="F610" s="2" t="s">
        <v>18</v>
      </c>
      <c r="G610" s="2" t="s">
        <v>19</v>
      </c>
      <c r="H610" s="3" t="s">
        <v>20</v>
      </c>
      <c r="I610" s="6">
        <v>39</v>
      </c>
      <c r="J610" s="6">
        <v>44</v>
      </c>
      <c r="K610" s="7">
        <v>0.88396606381000065</v>
      </c>
      <c r="L610" s="7">
        <v>0.97763374815796777</v>
      </c>
      <c r="M610" s="7">
        <v>0.95041330309427952</v>
      </c>
      <c r="N610" s="8">
        <v>27070</v>
      </c>
      <c r="O610" s="7">
        <f t="shared" si="19"/>
        <v>1.0090012900771026</v>
      </c>
    </row>
    <row r="611" spans="1:15">
      <c r="A611" s="3" t="s">
        <v>645</v>
      </c>
      <c r="B611" s="4">
        <v>45870</v>
      </c>
      <c r="C611" s="5">
        <f t="shared" si="18"/>
        <v>45870</v>
      </c>
      <c r="D611" s="3" t="s">
        <v>22</v>
      </c>
      <c r="E611" s="2" t="s">
        <v>23</v>
      </c>
      <c r="F611" s="2" t="s">
        <v>18</v>
      </c>
      <c r="G611" s="2" t="s">
        <v>19</v>
      </c>
      <c r="H611" s="3" t="s">
        <v>24</v>
      </c>
      <c r="I611" s="6">
        <v>43</v>
      </c>
      <c r="J611" s="6">
        <v>41</v>
      </c>
      <c r="K611" s="7">
        <v>0.9792515712926011</v>
      </c>
      <c r="L611" s="7">
        <v>0.95415294753907076</v>
      </c>
      <c r="M611" s="7">
        <v>0.92993033563662642</v>
      </c>
      <c r="N611" s="8">
        <v>23130</v>
      </c>
      <c r="O611" s="7">
        <f t="shared" si="19"/>
        <v>0.95531725091854547</v>
      </c>
    </row>
    <row r="612" spans="1:15">
      <c r="A612" s="3" t="s">
        <v>646</v>
      </c>
      <c r="B612" s="4">
        <v>45870</v>
      </c>
      <c r="C612" s="5">
        <f t="shared" si="18"/>
        <v>45870</v>
      </c>
      <c r="D612" s="3" t="s">
        <v>22</v>
      </c>
      <c r="E612" s="2" t="s">
        <v>23</v>
      </c>
      <c r="F612" s="2" t="s">
        <v>18</v>
      </c>
      <c r="G612" s="2" t="s">
        <v>19</v>
      </c>
      <c r="H612" s="3" t="s">
        <v>24</v>
      </c>
      <c r="I612" s="6">
        <v>33</v>
      </c>
      <c r="J612" s="6">
        <v>31</v>
      </c>
      <c r="K612" s="7">
        <v>0.95205973172517877</v>
      </c>
      <c r="L612" s="7">
        <v>0.96856889498079501</v>
      </c>
      <c r="M612" s="7">
        <v>0.94569847442347155</v>
      </c>
      <c r="N612" s="8">
        <v>16400</v>
      </c>
      <c r="O612" s="7">
        <f t="shared" si="19"/>
        <v>0.94819753782068406</v>
      </c>
    </row>
    <row r="613" spans="1:15">
      <c r="A613" s="3" t="s">
        <v>647</v>
      </c>
      <c r="B613" s="4">
        <v>45873</v>
      </c>
      <c r="C613" s="5">
        <f t="shared" si="18"/>
        <v>45870</v>
      </c>
      <c r="D613" s="3" t="s">
        <v>16</v>
      </c>
      <c r="E613" s="2" t="s">
        <v>17</v>
      </c>
      <c r="F613" s="2" t="s">
        <v>18</v>
      </c>
      <c r="G613" s="2" t="s">
        <v>19</v>
      </c>
      <c r="H613" s="3" t="s">
        <v>20</v>
      </c>
      <c r="I613" s="6">
        <v>32</v>
      </c>
      <c r="J613" s="6">
        <v>37</v>
      </c>
      <c r="K613" s="7">
        <v>0.96779954794034462</v>
      </c>
      <c r="L613" s="7">
        <v>0.96741566886733532</v>
      </c>
      <c r="M613" s="7">
        <v>0.91841720290700779</v>
      </c>
      <c r="N613" s="8">
        <v>20290</v>
      </c>
      <c r="O613" s="7">
        <f t="shared" si="19"/>
        <v>1.0332456778965879</v>
      </c>
    </row>
    <row r="614" spans="1:15">
      <c r="A614" s="3" t="s">
        <v>648</v>
      </c>
      <c r="B614" s="4">
        <v>45873</v>
      </c>
      <c r="C614" s="5">
        <f t="shared" si="18"/>
        <v>45870</v>
      </c>
      <c r="D614" s="3" t="s">
        <v>22</v>
      </c>
      <c r="E614" s="2" t="s">
        <v>23</v>
      </c>
      <c r="F614" s="2" t="s">
        <v>18</v>
      </c>
      <c r="G614" s="2" t="s">
        <v>19</v>
      </c>
      <c r="H614" s="3" t="s">
        <v>24</v>
      </c>
      <c r="I614" s="6">
        <v>29</v>
      </c>
      <c r="J614" s="6">
        <v>29</v>
      </c>
      <c r="K614" s="7">
        <v>0.94290484633132476</v>
      </c>
      <c r="L614" s="7">
        <v>0.96893758476129843</v>
      </c>
      <c r="M614" s="7">
        <v>0.91538343095042507</v>
      </c>
      <c r="N614" s="8">
        <v>16700</v>
      </c>
      <c r="O614" s="7">
        <f t="shared" si="19"/>
        <v>0.96414353548711107</v>
      </c>
    </row>
    <row r="615" spans="1:15">
      <c r="A615" s="3" t="s">
        <v>649</v>
      </c>
      <c r="B615" s="4">
        <v>45874</v>
      </c>
      <c r="C615" s="5">
        <f t="shared" si="18"/>
        <v>45870</v>
      </c>
      <c r="D615" s="3" t="s">
        <v>26</v>
      </c>
      <c r="E615" s="2" t="s">
        <v>27</v>
      </c>
      <c r="F615" s="2" t="s">
        <v>28</v>
      </c>
      <c r="G615" s="2" t="s">
        <v>29</v>
      </c>
      <c r="H615" s="3" t="s">
        <v>20</v>
      </c>
      <c r="I615" s="6">
        <v>37</v>
      </c>
      <c r="J615" s="6">
        <v>32</v>
      </c>
      <c r="K615" s="7">
        <v>0.91347998275430775</v>
      </c>
      <c r="L615" s="7">
        <v>0.94391009152288707</v>
      </c>
      <c r="M615" s="7">
        <v>0.91583498640341077</v>
      </c>
      <c r="N615" s="8">
        <v>12010</v>
      </c>
      <c r="O615" s="7">
        <f t="shared" si="19"/>
        <v>0.89906945264363824</v>
      </c>
    </row>
    <row r="616" spans="1:15">
      <c r="A616" s="3" t="s">
        <v>650</v>
      </c>
      <c r="B616" s="4">
        <v>45874</v>
      </c>
      <c r="C616" s="5">
        <f t="shared" si="18"/>
        <v>45870</v>
      </c>
      <c r="D616" s="3" t="s">
        <v>34</v>
      </c>
      <c r="E616" s="2" t="s">
        <v>35</v>
      </c>
      <c r="F616" s="2" t="s">
        <v>36</v>
      </c>
      <c r="G616" s="2" t="s">
        <v>37</v>
      </c>
      <c r="H616" s="3" t="s">
        <v>20</v>
      </c>
      <c r="I616" s="6">
        <v>28</v>
      </c>
      <c r="J616" s="6">
        <v>29</v>
      </c>
      <c r="K616" s="7">
        <v>0.97824791466795924</v>
      </c>
      <c r="L616" s="7">
        <v>0.96188949517341893</v>
      </c>
      <c r="M616" s="7">
        <v>0.94886037066497286</v>
      </c>
      <c r="N616" s="8">
        <v>11800</v>
      </c>
      <c r="O616" s="7">
        <f t="shared" si="19"/>
        <v>0.99290319136171157</v>
      </c>
    </row>
    <row r="617" spans="1:15">
      <c r="A617" s="3" t="s">
        <v>651</v>
      </c>
      <c r="B617" s="4">
        <v>45877</v>
      </c>
      <c r="C617" s="5">
        <f t="shared" si="18"/>
        <v>45870</v>
      </c>
      <c r="D617" s="3" t="s">
        <v>22</v>
      </c>
      <c r="E617" s="2" t="s">
        <v>23</v>
      </c>
      <c r="F617" s="2" t="s">
        <v>18</v>
      </c>
      <c r="G617" s="2" t="s">
        <v>19</v>
      </c>
      <c r="H617" s="3" t="s">
        <v>24</v>
      </c>
      <c r="I617" s="6">
        <v>35</v>
      </c>
      <c r="J617" s="6">
        <v>33</v>
      </c>
      <c r="K617" s="7">
        <v>0.92451284657030408</v>
      </c>
      <c r="L617" s="7">
        <v>0.98333981981205365</v>
      </c>
      <c r="M617" s="7">
        <v>0.92548573437032466</v>
      </c>
      <c r="N617" s="8">
        <v>18300</v>
      </c>
      <c r="O617" s="7">
        <f t="shared" si="19"/>
        <v>0.94086918863130609</v>
      </c>
    </row>
    <row r="618" spans="1:15">
      <c r="A618" s="3" t="s">
        <v>652</v>
      </c>
      <c r="B618" s="4">
        <v>45877</v>
      </c>
      <c r="C618" s="5">
        <f t="shared" si="18"/>
        <v>45870</v>
      </c>
      <c r="D618" s="3" t="s">
        <v>22</v>
      </c>
      <c r="E618" s="2" t="s">
        <v>23</v>
      </c>
      <c r="F618" s="2" t="s">
        <v>18</v>
      </c>
      <c r="G618" s="2" t="s">
        <v>19</v>
      </c>
      <c r="H618" s="3" t="s">
        <v>24</v>
      </c>
      <c r="I618" s="6">
        <v>46</v>
      </c>
      <c r="J618" s="6">
        <v>48</v>
      </c>
      <c r="K618" s="7">
        <v>0.95288634906128811</v>
      </c>
      <c r="L618" s="7">
        <v>0.98275129147288154</v>
      </c>
      <c r="M618" s="7">
        <v>0.95857761051769452</v>
      </c>
      <c r="N618" s="8">
        <v>23530</v>
      </c>
      <c r="O618" s="7">
        <f t="shared" si="19"/>
        <v>0.99474110743761934</v>
      </c>
    </row>
    <row r="619" spans="1:15">
      <c r="A619" s="3" t="s">
        <v>653</v>
      </c>
      <c r="B619" s="4">
        <v>45877</v>
      </c>
      <c r="C619" s="5">
        <f t="shared" si="18"/>
        <v>45870</v>
      </c>
      <c r="D619" s="3" t="s">
        <v>43</v>
      </c>
      <c r="E619" s="2" t="s">
        <v>44</v>
      </c>
      <c r="F619" s="2" t="s">
        <v>28</v>
      </c>
      <c r="G619" s="2" t="s">
        <v>29</v>
      </c>
      <c r="H619" s="3" t="s">
        <v>45</v>
      </c>
      <c r="I619" s="6">
        <v>50</v>
      </c>
      <c r="J619" s="6">
        <v>52</v>
      </c>
      <c r="K619" s="7">
        <v>0.95611982422504205</v>
      </c>
      <c r="L619" s="7">
        <v>0.97598123278168014</v>
      </c>
      <c r="M619" s="7">
        <v>0.93425030156502842</v>
      </c>
      <c r="N619" s="8">
        <v>23070</v>
      </c>
      <c r="O619" s="7">
        <f t="shared" si="19"/>
        <v>0.98827720128651819</v>
      </c>
    </row>
    <row r="620" spans="1:15">
      <c r="A620" s="3" t="s">
        <v>654</v>
      </c>
      <c r="B620" s="4">
        <v>45877</v>
      </c>
      <c r="C620" s="5">
        <f t="shared" si="18"/>
        <v>45870</v>
      </c>
      <c r="D620" s="3" t="s">
        <v>34</v>
      </c>
      <c r="E620" s="2" t="s">
        <v>35</v>
      </c>
      <c r="F620" s="2" t="s">
        <v>36</v>
      </c>
      <c r="G620" s="2" t="s">
        <v>37</v>
      </c>
      <c r="H620" s="3" t="s">
        <v>20</v>
      </c>
      <c r="I620" s="6">
        <v>32</v>
      </c>
      <c r="J620" s="6">
        <v>29</v>
      </c>
      <c r="K620" s="7">
        <v>0.94265122494616904</v>
      </c>
      <c r="L620" s="7">
        <v>0.94449543522365009</v>
      </c>
      <c r="M620" s="7">
        <v>0.92187364750761425</v>
      </c>
      <c r="N620" s="8">
        <v>12110</v>
      </c>
      <c r="O620" s="7">
        <f t="shared" si="19"/>
        <v>0.92421185102161274</v>
      </c>
    </row>
    <row r="621" spans="1:15">
      <c r="A621" s="3" t="s">
        <v>655</v>
      </c>
      <c r="B621" s="4">
        <v>45877</v>
      </c>
      <c r="C621" s="5">
        <f t="shared" si="18"/>
        <v>45870</v>
      </c>
      <c r="D621" s="3" t="s">
        <v>39</v>
      </c>
      <c r="E621" s="2" t="s">
        <v>40</v>
      </c>
      <c r="F621" s="2" t="s">
        <v>36</v>
      </c>
      <c r="G621" s="2" t="s">
        <v>37</v>
      </c>
      <c r="H621" s="3" t="s">
        <v>24</v>
      </c>
      <c r="I621" s="6">
        <v>49</v>
      </c>
      <c r="J621" s="6">
        <v>52</v>
      </c>
      <c r="K621" s="7">
        <v>0.94526557189906812</v>
      </c>
      <c r="L621" s="7">
        <v>0.97460608183674624</v>
      </c>
      <c r="M621" s="7">
        <v>0.96955091356902634</v>
      </c>
      <c r="N621" s="8">
        <v>27570</v>
      </c>
      <c r="O621" s="7">
        <f t="shared" si="19"/>
        <v>1.0009072838824518</v>
      </c>
    </row>
    <row r="622" spans="1:15">
      <c r="A622" s="3" t="s">
        <v>656</v>
      </c>
      <c r="B622" s="4">
        <v>45877</v>
      </c>
      <c r="C622" s="5">
        <f t="shared" si="18"/>
        <v>45870</v>
      </c>
      <c r="D622" s="3" t="s">
        <v>39</v>
      </c>
      <c r="E622" s="2" t="s">
        <v>40</v>
      </c>
      <c r="F622" s="2" t="s">
        <v>36</v>
      </c>
      <c r="G622" s="2" t="s">
        <v>37</v>
      </c>
      <c r="H622" s="3" t="s">
        <v>24</v>
      </c>
      <c r="I622" s="6">
        <v>47</v>
      </c>
      <c r="J622" s="6">
        <v>46</v>
      </c>
      <c r="K622" s="7">
        <v>0.95494147958656372</v>
      </c>
      <c r="L622" s="7">
        <v>0.97856558281378903</v>
      </c>
      <c r="M622" s="7">
        <v>0.96274529234006201</v>
      </c>
      <c r="N622" s="8">
        <v>19950</v>
      </c>
      <c r="O622" s="7">
        <f t="shared" si="19"/>
        <v>0.96955862748884936</v>
      </c>
    </row>
    <row r="623" spans="1:15">
      <c r="A623" s="3" t="s">
        <v>657</v>
      </c>
      <c r="B623" s="4">
        <v>45884</v>
      </c>
      <c r="C623" s="5">
        <f t="shared" si="18"/>
        <v>45870</v>
      </c>
      <c r="D623" s="3" t="s">
        <v>39</v>
      </c>
      <c r="E623" s="2" t="s">
        <v>40</v>
      </c>
      <c r="F623" s="2" t="s">
        <v>36</v>
      </c>
      <c r="G623" s="2" t="s">
        <v>37</v>
      </c>
      <c r="H623" s="3" t="s">
        <v>24</v>
      </c>
      <c r="I623" s="6">
        <v>28</v>
      </c>
      <c r="J623" s="6">
        <v>33</v>
      </c>
      <c r="K623" s="7">
        <v>0.94889519548049372</v>
      </c>
      <c r="L623" s="7">
        <v>0.99462550457396215</v>
      </c>
      <c r="M623" s="7">
        <v>0.95569285394660064</v>
      </c>
      <c r="N623" s="8">
        <v>17840</v>
      </c>
      <c r="O623" s="7">
        <f t="shared" si="19"/>
        <v>1.0489847667741092</v>
      </c>
    </row>
    <row r="624" spans="1:15">
      <c r="A624" s="3" t="s">
        <v>658</v>
      </c>
      <c r="B624" s="4">
        <v>45884</v>
      </c>
      <c r="C624" s="5">
        <f t="shared" si="18"/>
        <v>45870</v>
      </c>
      <c r="D624" s="3" t="s">
        <v>39</v>
      </c>
      <c r="E624" s="2" t="s">
        <v>40</v>
      </c>
      <c r="F624" s="2" t="s">
        <v>36</v>
      </c>
      <c r="G624" s="2" t="s">
        <v>37</v>
      </c>
      <c r="H624" s="3" t="s">
        <v>24</v>
      </c>
      <c r="I624" s="6">
        <v>33</v>
      </c>
      <c r="J624" s="6">
        <v>35</v>
      </c>
      <c r="K624" s="7">
        <v>0.95003491390885109</v>
      </c>
      <c r="L624" s="7">
        <v>0.96146669146458119</v>
      </c>
      <c r="M624" s="7">
        <v>0.99377194910677102</v>
      </c>
      <c r="N624" s="8">
        <v>18650</v>
      </c>
      <c r="O624" s="7">
        <f t="shared" si="19"/>
        <v>1.0047255462606783</v>
      </c>
    </row>
    <row r="625" spans="1:15">
      <c r="A625" s="3" t="s">
        <v>659</v>
      </c>
      <c r="B625" s="4">
        <v>45884</v>
      </c>
      <c r="C625" s="5">
        <f t="shared" si="18"/>
        <v>45870</v>
      </c>
      <c r="D625" s="3" t="s">
        <v>39</v>
      </c>
      <c r="E625" s="2" t="s">
        <v>40</v>
      </c>
      <c r="F625" s="2" t="s">
        <v>36</v>
      </c>
      <c r="G625" s="2" t="s">
        <v>37</v>
      </c>
      <c r="H625" s="3" t="s">
        <v>24</v>
      </c>
      <c r="I625" s="6">
        <v>40</v>
      </c>
      <c r="J625" s="6">
        <v>43</v>
      </c>
      <c r="K625" s="7">
        <v>0.94587537228884222</v>
      </c>
      <c r="L625" s="7">
        <v>0.99361834689952389</v>
      </c>
      <c r="M625" s="7">
        <v>0.97478982916543155</v>
      </c>
      <c r="N625" s="8">
        <v>22970</v>
      </c>
      <c r="O625" s="7">
        <f t="shared" si="19"/>
        <v>1.0104695609402254</v>
      </c>
    </row>
    <row r="626" spans="1:15">
      <c r="A626" s="3" t="s">
        <v>660</v>
      </c>
      <c r="B626" s="4">
        <v>45888</v>
      </c>
      <c r="C626" s="5">
        <f t="shared" si="18"/>
        <v>45870</v>
      </c>
      <c r="D626" s="3" t="s">
        <v>22</v>
      </c>
      <c r="E626" s="2" t="s">
        <v>23</v>
      </c>
      <c r="F626" s="2" t="s">
        <v>18</v>
      </c>
      <c r="G626" s="2" t="s">
        <v>19</v>
      </c>
      <c r="H626" s="3" t="s">
        <v>24</v>
      </c>
      <c r="I626" s="6">
        <v>51</v>
      </c>
      <c r="J626" s="6">
        <v>47</v>
      </c>
      <c r="K626" s="7">
        <v>0.91445647734268987</v>
      </c>
      <c r="L626" s="7">
        <v>0.95160383467561738</v>
      </c>
      <c r="M626" s="7">
        <v>0.96531136257685568</v>
      </c>
      <c r="N626" s="8">
        <v>27170</v>
      </c>
      <c r="O626" s="7">
        <f t="shared" si="19"/>
        <v>0.93304441803277827</v>
      </c>
    </row>
    <row r="627" spans="1:15">
      <c r="A627" s="3" t="s">
        <v>661</v>
      </c>
      <c r="B627" s="4">
        <v>45889</v>
      </c>
      <c r="C627" s="5">
        <f t="shared" si="18"/>
        <v>45870</v>
      </c>
      <c r="D627" s="3" t="s">
        <v>16</v>
      </c>
      <c r="E627" s="2" t="s">
        <v>17</v>
      </c>
      <c r="F627" s="2" t="s">
        <v>18</v>
      </c>
      <c r="G627" s="2" t="s">
        <v>19</v>
      </c>
      <c r="H627" s="3" t="s">
        <v>20</v>
      </c>
      <c r="I627" s="6">
        <v>37</v>
      </c>
      <c r="J627" s="6">
        <v>40</v>
      </c>
      <c r="K627" s="7">
        <v>0.9045999731639377</v>
      </c>
      <c r="L627" s="7">
        <v>0.96841225938712971</v>
      </c>
      <c r="M627" s="7">
        <v>0.92419426950316608</v>
      </c>
      <c r="N627" s="8">
        <v>22780</v>
      </c>
      <c r="O627" s="7">
        <f t="shared" si="19"/>
        <v>0.98868311853211954</v>
      </c>
    </row>
    <row r="628" spans="1:15">
      <c r="A628" s="3" t="s">
        <v>662</v>
      </c>
      <c r="B628" s="4">
        <v>45889</v>
      </c>
      <c r="C628" s="5">
        <f t="shared" si="18"/>
        <v>45870</v>
      </c>
      <c r="D628" s="3" t="s">
        <v>16</v>
      </c>
      <c r="E628" s="2" t="s">
        <v>17</v>
      </c>
      <c r="F628" s="2" t="s">
        <v>18</v>
      </c>
      <c r="G628" s="2" t="s">
        <v>19</v>
      </c>
      <c r="H628" s="3" t="s">
        <v>20</v>
      </c>
      <c r="I628" s="6">
        <v>46</v>
      </c>
      <c r="J628" s="6">
        <v>50</v>
      </c>
      <c r="K628" s="7">
        <v>0.93977294365492248</v>
      </c>
      <c r="L628" s="7">
        <v>0.98629217221782894</v>
      </c>
      <c r="M628" s="7">
        <v>0.90963402818001304</v>
      </c>
      <c r="N628" s="8">
        <v>31600</v>
      </c>
      <c r="O628" s="7">
        <f t="shared" si="19"/>
        <v>0.99959647607805979</v>
      </c>
    </row>
    <row r="629" spans="1:15">
      <c r="A629" s="3" t="s">
        <v>663</v>
      </c>
      <c r="B629" s="4">
        <v>45890</v>
      </c>
      <c r="C629" s="5">
        <f t="shared" si="18"/>
        <v>45870</v>
      </c>
      <c r="D629" s="3" t="s">
        <v>22</v>
      </c>
      <c r="E629" s="2" t="s">
        <v>23</v>
      </c>
      <c r="F629" s="2" t="s">
        <v>18</v>
      </c>
      <c r="G629" s="2" t="s">
        <v>19</v>
      </c>
      <c r="H629" s="3" t="s">
        <v>24</v>
      </c>
      <c r="I629" s="6">
        <v>43</v>
      </c>
      <c r="J629" s="6">
        <v>36</v>
      </c>
      <c r="K629" s="7">
        <v>0.9221966824030684</v>
      </c>
      <c r="L629" s="7">
        <v>0.98516702564379832</v>
      </c>
      <c r="M629" s="7">
        <v>0.995</v>
      </c>
      <c r="N629" s="8">
        <v>17710</v>
      </c>
      <c r="O629" s="7">
        <f t="shared" si="19"/>
        <v>0.91220794537756955</v>
      </c>
    </row>
    <row r="630" spans="1:15">
      <c r="A630" s="3" t="s">
        <v>664</v>
      </c>
      <c r="B630" s="4">
        <v>45891</v>
      </c>
      <c r="C630" s="5">
        <f t="shared" si="18"/>
        <v>45870</v>
      </c>
      <c r="D630" s="3" t="s">
        <v>22</v>
      </c>
      <c r="E630" s="2" t="s">
        <v>23</v>
      </c>
      <c r="F630" s="2" t="s">
        <v>18</v>
      </c>
      <c r="G630" s="2" t="s">
        <v>19</v>
      </c>
      <c r="H630" s="3" t="s">
        <v>24</v>
      </c>
      <c r="I630" s="6">
        <v>33</v>
      </c>
      <c r="J630" s="6">
        <v>33</v>
      </c>
      <c r="K630" s="7">
        <v>0.91001892505512627</v>
      </c>
      <c r="L630" s="7">
        <v>0.92376763365964776</v>
      </c>
      <c r="M630" s="7">
        <v>0.94902196289712726</v>
      </c>
      <c r="N630" s="8">
        <v>19860</v>
      </c>
      <c r="O630" s="7">
        <f t="shared" si="19"/>
        <v>0.95587426889215421</v>
      </c>
    </row>
    <row r="631" spans="1:15">
      <c r="A631" s="3" t="s">
        <v>665</v>
      </c>
      <c r="B631" s="4">
        <v>45891</v>
      </c>
      <c r="C631" s="5">
        <f t="shared" si="18"/>
        <v>45870</v>
      </c>
      <c r="D631" s="3" t="s">
        <v>22</v>
      </c>
      <c r="E631" s="2" t="s">
        <v>23</v>
      </c>
      <c r="F631" s="2" t="s">
        <v>18</v>
      </c>
      <c r="G631" s="2" t="s">
        <v>19</v>
      </c>
      <c r="H631" s="3" t="s">
        <v>24</v>
      </c>
      <c r="I631" s="6">
        <v>45</v>
      </c>
      <c r="J631" s="6">
        <v>43</v>
      </c>
      <c r="K631" s="7">
        <v>0.93517745205817437</v>
      </c>
      <c r="L631" s="7">
        <v>0.98358837531078036</v>
      </c>
      <c r="M631" s="7">
        <v>0.92237310538112594</v>
      </c>
      <c r="N631" s="8">
        <v>25050</v>
      </c>
      <c r="O631" s="7">
        <f t="shared" si="19"/>
        <v>0.94802946260960796</v>
      </c>
    </row>
    <row r="632" spans="1:15">
      <c r="A632" s="3" t="s">
        <v>666</v>
      </c>
      <c r="B632" s="4">
        <v>45891</v>
      </c>
      <c r="C632" s="5">
        <f t="shared" si="18"/>
        <v>45870</v>
      </c>
      <c r="D632" s="3" t="s">
        <v>26</v>
      </c>
      <c r="E632" s="2" t="s">
        <v>27</v>
      </c>
      <c r="F632" s="2" t="s">
        <v>28</v>
      </c>
      <c r="G632" s="2" t="s">
        <v>29</v>
      </c>
      <c r="H632" s="3" t="s">
        <v>20</v>
      </c>
      <c r="I632" s="6">
        <v>37</v>
      </c>
      <c r="J632" s="6">
        <v>33</v>
      </c>
      <c r="K632" s="7">
        <v>0.88294712750292281</v>
      </c>
      <c r="L632" s="7">
        <v>0.94997853768010765</v>
      </c>
      <c r="M632" s="7">
        <v>0.94216372306036744</v>
      </c>
      <c r="N632" s="8">
        <v>12090</v>
      </c>
      <c r="O632" s="7">
        <f t="shared" si="19"/>
        <v>0.90842306389657712</v>
      </c>
    </row>
    <row r="633" spans="1:15">
      <c r="A633" s="3" t="s">
        <v>667</v>
      </c>
      <c r="B633" s="4">
        <v>45891</v>
      </c>
      <c r="C633" s="5">
        <f t="shared" si="18"/>
        <v>45870</v>
      </c>
      <c r="D633" s="3" t="s">
        <v>43</v>
      </c>
      <c r="E633" s="2" t="s">
        <v>44</v>
      </c>
      <c r="F633" s="2" t="s">
        <v>28</v>
      </c>
      <c r="G633" s="2" t="s">
        <v>29</v>
      </c>
      <c r="H633" s="3" t="s">
        <v>45</v>
      </c>
      <c r="I633" s="6">
        <v>31</v>
      </c>
      <c r="J633" s="6">
        <v>29</v>
      </c>
      <c r="K633" s="7">
        <v>0.99253491498885182</v>
      </c>
      <c r="L633" s="7">
        <v>0.95557268027791331</v>
      </c>
      <c r="M633" s="7">
        <v>0.88671701853639706</v>
      </c>
      <c r="N633" s="8">
        <v>12970</v>
      </c>
      <c r="O633" s="7">
        <f t="shared" si="19"/>
        <v>0.94300658288327621</v>
      </c>
    </row>
    <row r="634" spans="1:15">
      <c r="A634" s="3" t="s">
        <v>668</v>
      </c>
      <c r="B634" s="4">
        <v>45891</v>
      </c>
      <c r="C634" s="5">
        <f t="shared" si="18"/>
        <v>45870</v>
      </c>
      <c r="D634" s="3" t="s">
        <v>43</v>
      </c>
      <c r="E634" s="2" t="s">
        <v>44</v>
      </c>
      <c r="F634" s="2" t="s">
        <v>28</v>
      </c>
      <c r="G634" s="2" t="s">
        <v>29</v>
      </c>
      <c r="H634" s="3" t="s">
        <v>45</v>
      </c>
      <c r="I634" s="6">
        <v>36</v>
      </c>
      <c r="J634" s="6">
        <v>38</v>
      </c>
      <c r="K634" s="7">
        <v>0.94818364051463933</v>
      </c>
      <c r="L634" s="7">
        <v>0.99194704729272998</v>
      </c>
      <c r="M634" s="7">
        <v>0.9196803476043901</v>
      </c>
      <c r="N634" s="8">
        <v>16650</v>
      </c>
      <c r="O634" s="7">
        <f t="shared" si="19"/>
        <v>0.99199625896566967</v>
      </c>
    </row>
    <row r="635" spans="1:15">
      <c r="A635" s="3" t="s">
        <v>669</v>
      </c>
      <c r="B635" s="4">
        <v>45891</v>
      </c>
      <c r="C635" s="5">
        <f t="shared" si="18"/>
        <v>45870</v>
      </c>
      <c r="D635" s="3" t="s">
        <v>43</v>
      </c>
      <c r="E635" s="2" t="s">
        <v>44</v>
      </c>
      <c r="F635" s="2" t="s">
        <v>28</v>
      </c>
      <c r="G635" s="2" t="s">
        <v>29</v>
      </c>
      <c r="H635" s="3" t="s">
        <v>45</v>
      </c>
      <c r="I635" s="6">
        <v>36</v>
      </c>
      <c r="J635" s="6">
        <v>37</v>
      </c>
      <c r="K635" s="7">
        <v>0.98398582155750158</v>
      </c>
      <c r="L635" s="7">
        <v>0.95725167204418182</v>
      </c>
      <c r="M635" s="7">
        <v>0.90531774401046206</v>
      </c>
      <c r="N635" s="8">
        <v>17730</v>
      </c>
      <c r="O635" s="7">
        <f t="shared" si="19"/>
        <v>0.98175886610920626</v>
      </c>
    </row>
    <row r="636" spans="1:15">
      <c r="A636" s="3" t="s">
        <v>670</v>
      </c>
      <c r="B636" s="4">
        <v>45894</v>
      </c>
      <c r="C636" s="5">
        <f t="shared" si="18"/>
        <v>45870</v>
      </c>
      <c r="D636" s="3" t="s">
        <v>26</v>
      </c>
      <c r="E636" s="2" t="s">
        <v>27</v>
      </c>
      <c r="F636" s="2" t="s">
        <v>28</v>
      </c>
      <c r="G636" s="2" t="s">
        <v>29</v>
      </c>
      <c r="H636" s="3" t="s">
        <v>20</v>
      </c>
      <c r="I636" s="6">
        <v>35</v>
      </c>
      <c r="J636" s="6">
        <v>37</v>
      </c>
      <c r="K636" s="7">
        <v>0.90486485680911888</v>
      </c>
      <c r="L636" s="7">
        <v>0.95626950733726801</v>
      </c>
      <c r="M636" s="7">
        <v>0.89364664451647169</v>
      </c>
      <c r="N636" s="8">
        <v>12930</v>
      </c>
      <c r="O636" s="7">
        <f t="shared" si="19"/>
        <v>0.97124311206330716</v>
      </c>
    </row>
    <row r="637" spans="1:15">
      <c r="A637" s="3" t="s">
        <v>671</v>
      </c>
      <c r="B637" s="4">
        <v>45896</v>
      </c>
      <c r="C637" s="5">
        <f t="shared" si="18"/>
        <v>45870</v>
      </c>
      <c r="D637" s="3" t="s">
        <v>43</v>
      </c>
      <c r="E637" s="2" t="s">
        <v>44</v>
      </c>
      <c r="F637" s="2" t="s">
        <v>28</v>
      </c>
      <c r="G637" s="2" t="s">
        <v>29</v>
      </c>
      <c r="H637" s="3" t="s">
        <v>45</v>
      </c>
      <c r="I637" s="6">
        <v>43</v>
      </c>
      <c r="J637" s="6">
        <v>46</v>
      </c>
      <c r="K637" s="7">
        <v>0.91745930306503931</v>
      </c>
      <c r="L637" s="7">
        <v>0.98736433883898234</v>
      </c>
      <c r="M637" s="7">
        <v>0.943965911202857</v>
      </c>
      <c r="N637" s="8">
        <v>18610</v>
      </c>
      <c r="O637" s="7">
        <f t="shared" si="19"/>
        <v>0.99416963557686455</v>
      </c>
    </row>
    <row r="638" spans="1:15">
      <c r="A638" s="3" t="s">
        <v>672</v>
      </c>
      <c r="B638" s="4">
        <v>45896</v>
      </c>
      <c r="C638" s="5">
        <f t="shared" si="18"/>
        <v>45870</v>
      </c>
      <c r="D638" s="3" t="s">
        <v>39</v>
      </c>
      <c r="E638" s="2" t="s">
        <v>40</v>
      </c>
      <c r="F638" s="2" t="s">
        <v>36</v>
      </c>
      <c r="G638" s="2" t="s">
        <v>37</v>
      </c>
      <c r="H638" s="3" t="s">
        <v>24</v>
      </c>
      <c r="I638" s="6">
        <v>36</v>
      </c>
      <c r="J638" s="6">
        <v>40</v>
      </c>
      <c r="K638" s="7">
        <v>0.96846325548416556</v>
      </c>
      <c r="L638" s="7">
        <v>0.97941374222111832</v>
      </c>
      <c r="M638" s="7">
        <v>0.96570673019031394</v>
      </c>
      <c r="N638" s="8">
        <v>21560</v>
      </c>
      <c r="O638" s="7">
        <f t="shared" si="19"/>
        <v>1.0266136656867164</v>
      </c>
    </row>
    <row r="639" spans="1:15">
      <c r="A639" s="3" t="s">
        <v>673</v>
      </c>
      <c r="B639" s="4">
        <v>45897</v>
      </c>
      <c r="C639" s="5">
        <f t="shared" si="18"/>
        <v>45870</v>
      </c>
      <c r="D639" s="3" t="s">
        <v>22</v>
      </c>
      <c r="E639" s="2" t="s">
        <v>23</v>
      </c>
      <c r="F639" s="2" t="s">
        <v>18</v>
      </c>
      <c r="G639" s="2" t="s">
        <v>19</v>
      </c>
      <c r="H639" s="3" t="s">
        <v>24</v>
      </c>
      <c r="I639" s="6">
        <v>41</v>
      </c>
      <c r="J639" s="6">
        <v>41</v>
      </c>
      <c r="K639" s="7">
        <v>0.89699867529675736</v>
      </c>
      <c r="L639" s="7">
        <v>0.96524597196414619</v>
      </c>
      <c r="M639" s="7">
        <v>0.9170655532094093</v>
      </c>
      <c r="N639" s="8">
        <v>21050</v>
      </c>
      <c r="O639" s="7">
        <f t="shared" si="19"/>
        <v>0.95244967526069324</v>
      </c>
    </row>
    <row r="640" spans="1:15">
      <c r="A640" s="3" t="s">
        <v>674</v>
      </c>
      <c r="B640" s="4">
        <v>45897</v>
      </c>
      <c r="C640" s="5">
        <f t="shared" si="18"/>
        <v>45870</v>
      </c>
      <c r="D640" s="3" t="s">
        <v>39</v>
      </c>
      <c r="E640" s="2" t="s">
        <v>40</v>
      </c>
      <c r="F640" s="2" t="s">
        <v>36</v>
      </c>
      <c r="G640" s="2" t="s">
        <v>37</v>
      </c>
      <c r="H640" s="3" t="s">
        <v>24</v>
      </c>
      <c r="I640" s="6">
        <v>51</v>
      </c>
      <c r="J640" s="6">
        <v>59</v>
      </c>
      <c r="K640" s="7">
        <v>0.94461609938473556</v>
      </c>
      <c r="L640" s="7">
        <v>0.96110532217018119</v>
      </c>
      <c r="M640" s="7">
        <v>0.98395078813653569</v>
      </c>
      <c r="N640" s="8">
        <v>32110</v>
      </c>
      <c r="O640" s="7">
        <f t="shared" si="19"/>
        <v>1.0398550788382341</v>
      </c>
    </row>
    <row r="641" spans="1:15">
      <c r="A641" s="3" t="s">
        <v>675</v>
      </c>
      <c r="B641" s="4">
        <v>45898</v>
      </c>
      <c r="C641" s="5">
        <f t="shared" si="18"/>
        <v>45870</v>
      </c>
      <c r="D641" s="3" t="s">
        <v>16</v>
      </c>
      <c r="E641" s="2" t="s">
        <v>17</v>
      </c>
      <c r="F641" s="2" t="s">
        <v>18</v>
      </c>
      <c r="G641" s="2" t="s">
        <v>19</v>
      </c>
      <c r="H641" s="3" t="s">
        <v>20</v>
      </c>
      <c r="I641" s="6">
        <v>41</v>
      </c>
      <c r="J641" s="6">
        <v>40</v>
      </c>
      <c r="K641" s="7">
        <v>0.96822452696410422</v>
      </c>
      <c r="L641" s="7">
        <v>0.97824760444575964</v>
      </c>
      <c r="M641" s="7">
        <v>0.97337961775409299</v>
      </c>
      <c r="N641" s="8">
        <v>25000</v>
      </c>
      <c r="O641" s="7">
        <f t="shared" si="19"/>
        <v>0.97371309839773301</v>
      </c>
    </row>
    <row r="642" spans="1:15">
      <c r="A642" s="3" t="s">
        <v>676</v>
      </c>
      <c r="B642" s="4">
        <v>45898</v>
      </c>
      <c r="C642" s="5">
        <f t="shared" ref="C642:C705" si="20">DATE(YEAR(B642),MONTH(B642),1)</f>
        <v>45870</v>
      </c>
      <c r="D642" s="3" t="s">
        <v>43</v>
      </c>
      <c r="E642" s="2" t="s">
        <v>44</v>
      </c>
      <c r="F642" s="2" t="s">
        <v>28</v>
      </c>
      <c r="G642" s="2" t="s">
        <v>29</v>
      </c>
      <c r="H642" s="3" t="s">
        <v>45</v>
      </c>
      <c r="I642" s="6">
        <v>49</v>
      </c>
      <c r="J642" s="6">
        <v>48</v>
      </c>
      <c r="K642" s="7">
        <v>0.90774757800841666</v>
      </c>
      <c r="L642" s="7">
        <v>0.96557082193349186</v>
      </c>
      <c r="M642" s="7">
        <v>0.92775288542403211</v>
      </c>
      <c r="N642" s="8">
        <v>18180</v>
      </c>
      <c r="O642" s="7">
        <f t="shared" ref="O642:O705" si="21">MIN(J642/I642,1.2)*40%+K642*25%+L642*15%+M642*20%</f>
        <v>0.94915982957081191</v>
      </c>
    </row>
    <row r="643" spans="1:15">
      <c r="A643" s="3" t="s">
        <v>677</v>
      </c>
      <c r="B643" s="4">
        <v>45898</v>
      </c>
      <c r="C643" s="5">
        <f t="shared" si="20"/>
        <v>45870</v>
      </c>
      <c r="D643" s="3" t="s">
        <v>39</v>
      </c>
      <c r="E643" s="2" t="s">
        <v>40</v>
      </c>
      <c r="F643" s="2" t="s">
        <v>36</v>
      </c>
      <c r="G643" s="2" t="s">
        <v>37</v>
      </c>
      <c r="H643" s="3" t="s">
        <v>24</v>
      </c>
      <c r="I643" s="6">
        <v>36</v>
      </c>
      <c r="J643" s="6">
        <v>38</v>
      </c>
      <c r="K643" s="7">
        <v>0.97997549432262365</v>
      </c>
      <c r="L643" s="7">
        <v>0.99334599780901889</v>
      </c>
      <c r="M643" s="7">
        <v>0.96128048060204385</v>
      </c>
      <c r="N643" s="8">
        <v>18210</v>
      </c>
      <c r="O643" s="7">
        <f t="shared" si="21"/>
        <v>1.0084740915946397</v>
      </c>
    </row>
    <row r="644" spans="1:15">
      <c r="A644" s="3" t="s">
        <v>678</v>
      </c>
      <c r="B644" s="4">
        <v>45898</v>
      </c>
      <c r="C644" s="5">
        <f t="shared" si="20"/>
        <v>45870</v>
      </c>
      <c r="D644" s="3" t="s">
        <v>39</v>
      </c>
      <c r="E644" s="2" t="s">
        <v>40</v>
      </c>
      <c r="F644" s="2" t="s">
        <v>36</v>
      </c>
      <c r="G644" s="2" t="s">
        <v>37</v>
      </c>
      <c r="H644" s="3" t="s">
        <v>24</v>
      </c>
      <c r="I644" s="6">
        <v>43</v>
      </c>
      <c r="J644" s="6">
        <v>43</v>
      </c>
      <c r="K644" s="7">
        <v>0.95949795419861938</v>
      </c>
      <c r="L644" s="7">
        <v>0.98956657007253646</v>
      </c>
      <c r="M644" s="7">
        <v>0.995</v>
      </c>
      <c r="N644" s="8">
        <v>18360</v>
      </c>
      <c r="O644" s="7">
        <f t="shared" si="21"/>
        <v>0.98730947406053549</v>
      </c>
    </row>
    <row r="645" spans="1:15">
      <c r="A645" s="3" t="s">
        <v>679</v>
      </c>
      <c r="B645" s="4">
        <v>45901</v>
      </c>
      <c r="C645" s="5">
        <f t="shared" si="20"/>
        <v>45901</v>
      </c>
      <c r="D645" s="3" t="s">
        <v>26</v>
      </c>
      <c r="E645" s="2" t="s">
        <v>27</v>
      </c>
      <c r="F645" s="2" t="s">
        <v>28</v>
      </c>
      <c r="G645" s="2" t="s">
        <v>29</v>
      </c>
      <c r="H645" s="3" t="s">
        <v>20</v>
      </c>
      <c r="I645" s="6">
        <v>53</v>
      </c>
      <c r="J645" s="6">
        <v>48</v>
      </c>
      <c r="K645" s="7">
        <v>0.89713313386468152</v>
      </c>
      <c r="L645" s="7">
        <v>0.95478767148110055</v>
      </c>
      <c r="M645" s="7">
        <v>0.91341772709714242</v>
      </c>
      <c r="N645" s="8">
        <v>20860</v>
      </c>
      <c r="O645" s="7">
        <f t="shared" si="21"/>
        <v>0.91244913055116017</v>
      </c>
    </row>
    <row r="646" spans="1:15">
      <c r="A646" s="3" t="s">
        <v>680</v>
      </c>
      <c r="B646" s="4">
        <v>45903</v>
      </c>
      <c r="C646" s="5">
        <f t="shared" si="20"/>
        <v>45901</v>
      </c>
      <c r="D646" s="3" t="s">
        <v>26</v>
      </c>
      <c r="E646" s="2" t="s">
        <v>27</v>
      </c>
      <c r="F646" s="2" t="s">
        <v>28</v>
      </c>
      <c r="G646" s="2" t="s">
        <v>29</v>
      </c>
      <c r="H646" s="3" t="s">
        <v>20</v>
      </c>
      <c r="I646" s="6">
        <v>44</v>
      </c>
      <c r="J646" s="6">
        <v>41</v>
      </c>
      <c r="K646" s="7">
        <v>0.88034793549434076</v>
      </c>
      <c r="L646" s="7">
        <v>0.94891579148972616</v>
      </c>
      <c r="M646" s="7">
        <v>0.88368325306464746</v>
      </c>
      <c r="N646" s="8">
        <v>17690</v>
      </c>
      <c r="O646" s="7">
        <f t="shared" si="21"/>
        <v>0.91188827593724642</v>
      </c>
    </row>
    <row r="647" spans="1:15">
      <c r="A647" s="3" t="s">
        <v>681</v>
      </c>
      <c r="B647" s="4">
        <v>45905</v>
      </c>
      <c r="C647" s="5">
        <f t="shared" si="20"/>
        <v>45901</v>
      </c>
      <c r="D647" s="3" t="s">
        <v>43</v>
      </c>
      <c r="E647" s="2" t="s">
        <v>44</v>
      </c>
      <c r="F647" s="2" t="s">
        <v>28</v>
      </c>
      <c r="G647" s="2" t="s">
        <v>29</v>
      </c>
      <c r="H647" s="3" t="s">
        <v>45</v>
      </c>
      <c r="I647" s="6">
        <v>51</v>
      </c>
      <c r="J647" s="6">
        <v>49</v>
      </c>
      <c r="K647" s="7">
        <v>0.974992074165977</v>
      </c>
      <c r="L647" s="7">
        <v>0.96720379296737502</v>
      </c>
      <c r="M647" s="7">
        <v>0.92815356538430083</v>
      </c>
      <c r="N647" s="8">
        <v>21760</v>
      </c>
      <c r="O647" s="7">
        <f t="shared" si="21"/>
        <v>0.95877302605365677</v>
      </c>
    </row>
    <row r="648" spans="1:15">
      <c r="A648" s="3" t="s">
        <v>682</v>
      </c>
      <c r="B648" s="4">
        <v>45908</v>
      </c>
      <c r="C648" s="5">
        <f t="shared" si="20"/>
        <v>45901</v>
      </c>
      <c r="D648" s="3" t="s">
        <v>26</v>
      </c>
      <c r="E648" s="2" t="s">
        <v>27</v>
      </c>
      <c r="F648" s="2" t="s">
        <v>28</v>
      </c>
      <c r="G648" s="2" t="s">
        <v>29</v>
      </c>
      <c r="H648" s="3" t="s">
        <v>20</v>
      </c>
      <c r="I648" s="6">
        <v>44</v>
      </c>
      <c r="J648" s="6">
        <v>40</v>
      </c>
      <c r="K648" s="7">
        <v>0.9073271708464995</v>
      </c>
      <c r="L648" s="7">
        <v>0.97761774153113457</v>
      </c>
      <c r="M648" s="7">
        <v>0.90033574796642912</v>
      </c>
      <c r="N648" s="8">
        <v>17270</v>
      </c>
      <c r="O648" s="7">
        <f t="shared" si="21"/>
        <v>0.91717796717094457</v>
      </c>
    </row>
    <row r="649" spans="1:15">
      <c r="A649" s="3" t="s">
        <v>683</v>
      </c>
      <c r="B649" s="4">
        <v>45910</v>
      </c>
      <c r="C649" s="5">
        <f t="shared" si="20"/>
        <v>45901</v>
      </c>
      <c r="D649" s="3" t="s">
        <v>43</v>
      </c>
      <c r="E649" s="2" t="s">
        <v>44</v>
      </c>
      <c r="F649" s="2" t="s">
        <v>28</v>
      </c>
      <c r="G649" s="2" t="s">
        <v>29</v>
      </c>
      <c r="H649" s="3" t="s">
        <v>45</v>
      </c>
      <c r="I649" s="6">
        <v>41</v>
      </c>
      <c r="J649" s="6">
        <v>39</v>
      </c>
      <c r="K649" s="7">
        <v>0.93393183668911983</v>
      </c>
      <c r="L649" s="7">
        <v>0.95037898901371909</v>
      </c>
      <c r="M649" s="7">
        <v>0.94294766018872023</v>
      </c>
      <c r="N649" s="8">
        <v>15920</v>
      </c>
      <c r="O649" s="7">
        <f t="shared" si="21"/>
        <v>0.94511714444013062</v>
      </c>
    </row>
    <row r="650" spans="1:15">
      <c r="A650" s="3" t="s">
        <v>684</v>
      </c>
      <c r="B650" s="4">
        <v>45911</v>
      </c>
      <c r="C650" s="5">
        <f t="shared" si="20"/>
        <v>45901</v>
      </c>
      <c r="D650" s="3" t="s">
        <v>26</v>
      </c>
      <c r="E650" s="2" t="s">
        <v>27</v>
      </c>
      <c r="F650" s="2" t="s">
        <v>28</v>
      </c>
      <c r="G650" s="2" t="s">
        <v>29</v>
      </c>
      <c r="H650" s="3" t="s">
        <v>20</v>
      </c>
      <c r="I650" s="6">
        <v>48</v>
      </c>
      <c r="J650" s="6">
        <v>38</v>
      </c>
      <c r="K650" s="7">
        <v>0.9351049852736778</v>
      </c>
      <c r="L650" s="7">
        <v>0.95822743852057068</v>
      </c>
      <c r="M650" s="7">
        <v>0.82738963377859709</v>
      </c>
      <c r="N650" s="8">
        <v>16230</v>
      </c>
      <c r="O650" s="7">
        <f t="shared" si="21"/>
        <v>0.85965495551889104</v>
      </c>
    </row>
    <row r="651" spans="1:15">
      <c r="A651" s="3" t="s">
        <v>685</v>
      </c>
      <c r="B651" s="4">
        <v>45911</v>
      </c>
      <c r="C651" s="5">
        <f t="shared" si="20"/>
        <v>45901</v>
      </c>
      <c r="D651" s="3" t="s">
        <v>43</v>
      </c>
      <c r="E651" s="2" t="s">
        <v>44</v>
      </c>
      <c r="F651" s="2" t="s">
        <v>28</v>
      </c>
      <c r="G651" s="2" t="s">
        <v>29</v>
      </c>
      <c r="H651" s="3" t="s">
        <v>45</v>
      </c>
      <c r="I651" s="6">
        <v>53</v>
      </c>
      <c r="J651" s="6">
        <v>57</v>
      </c>
      <c r="K651" s="7">
        <v>0.95140953973104558</v>
      </c>
      <c r="L651" s="7">
        <v>0.96782859450637559</v>
      </c>
      <c r="M651" s="7">
        <v>0.90511832251843083</v>
      </c>
      <c r="N651" s="8">
        <v>24220</v>
      </c>
      <c r="O651" s="7">
        <f t="shared" si="21"/>
        <v>0.99423901785768698</v>
      </c>
    </row>
    <row r="652" spans="1:15">
      <c r="A652" s="3" t="s">
        <v>686</v>
      </c>
      <c r="B652" s="4">
        <v>45912</v>
      </c>
      <c r="C652" s="5">
        <f t="shared" si="20"/>
        <v>45901</v>
      </c>
      <c r="D652" s="3" t="s">
        <v>43</v>
      </c>
      <c r="E652" s="2" t="s">
        <v>44</v>
      </c>
      <c r="F652" s="2" t="s">
        <v>28</v>
      </c>
      <c r="G652" s="2" t="s">
        <v>29</v>
      </c>
      <c r="H652" s="3" t="s">
        <v>45</v>
      </c>
      <c r="I652" s="6">
        <v>40</v>
      </c>
      <c r="J652" s="6">
        <v>41</v>
      </c>
      <c r="K652" s="7">
        <v>0.96469637934153374</v>
      </c>
      <c r="L652" s="7">
        <v>0.98311910748438847</v>
      </c>
      <c r="M652" s="7">
        <v>0.89729550581689665</v>
      </c>
      <c r="N652" s="8">
        <v>18980</v>
      </c>
      <c r="O652" s="7">
        <f t="shared" si="21"/>
        <v>0.97810106212142112</v>
      </c>
    </row>
    <row r="653" spans="1:15">
      <c r="A653" s="3" t="s">
        <v>687</v>
      </c>
      <c r="B653" s="4">
        <v>45912</v>
      </c>
      <c r="C653" s="5">
        <f t="shared" si="20"/>
        <v>45901</v>
      </c>
      <c r="D653" s="3" t="s">
        <v>34</v>
      </c>
      <c r="E653" s="2" t="s">
        <v>35</v>
      </c>
      <c r="F653" s="2" t="s">
        <v>36</v>
      </c>
      <c r="G653" s="2" t="s">
        <v>37</v>
      </c>
      <c r="H653" s="3" t="s">
        <v>20</v>
      </c>
      <c r="I653" s="6">
        <v>47</v>
      </c>
      <c r="J653" s="6">
        <v>50</v>
      </c>
      <c r="K653" s="7">
        <v>0.92419582799029087</v>
      </c>
      <c r="L653" s="7">
        <v>0.96187032174666576</v>
      </c>
      <c r="M653" s="7">
        <v>0.92409756082252137</v>
      </c>
      <c r="N653" s="8">
        <v>21930</v>
      </c>
      <c r="O653" s="7">
        <f t="shared" si="21"/>
        <v>0.98568093231769394</v>
      </c>
    </row>
    <row r="654" spans="1:15">
      <c r="A654" s="3" t="s">
        <v>688</v>
      </c>
      <c r="B654" s="4">
        <v>45912</v>
      </c>
      <c r="C654" s="5">
        <f t="shared" si="20"/>
        <v>45901</v>
      </c>
      <c r="D654" s="3" t="s">
        <v>34</v>
      </c>
      <c r="E654" s="2" t="s">
        <v>35</v>
      </c>
      <c r="F654" s="2" t="s">
        <v>36</v>
      </c>
      <c r="G654" s="2" t="s">
        <v>37</v>
      </c>
      <c r="H654" s="3" t="s">
        <v>20</v>
      </c>
      <c r="I654" s="6">
        <v>41</v>
      </c>
      <c r="J654" s="6">
        <v>40</v>
      </c>
      <c r="K654" s="7">
        <v>0.9428254543147534</v>
      </c>
      <c r="L654" s="7">
        <v>0.9632211267902171</v>
      </c>
      <c r="M654" s="7">
        <v>0.95684807696877294</v>
      </c>
      <c r="N654" s="8">
        <v>19480</v>
      </c>
      <c r="O654" s="7">
        <f t="shared" si="21"/>
        <v>0.96180305042999992</v>
      </c>
    </row>
    <row r="655" spans="1:15">
      <c r="A655" s="3" t="s">
        <v>689</v>
      </c>
      <c r="B655" s="4">
        <v>45912</v>
      </c>
      <c r="C655" s="5">
        <f t="shared" si="20"/>
        <v>45901</v>
      </c>
      <c r="D655" s="3" t="s">
        <v>34</v>
      </c>
      <c r="E655" s="2" t="s">
        <v>35</v>
      </c>
      <c r="F655" s="2" t="s">
        <v>36</v>
      </c>
      <c r="G655" s="2" t="s">
        <v>37</v>
      </c>
      <c r="H655" s="3" t="s">
        <v>20</v>
      </c>
      <c r="I655" s="6">
        <v>34</v>
      </c>
      <c r="J655" s="6">
        <v>30</v>
      </c>
      <c r="K655" s="7">
        <v>0.94031838080467722</v>
      </c>
      <c r="L655" s="7">
        <v>0.97116144439805685</v>
      </c>
      <c r="M655" s="7">
        <v>0.94048944478665619</v>
      </c>
      <c r="N655" s="8">
        <v>13900</v>
      </c>
      <c r="O655" s="7">
        <f t="shared" si="21"/>
        <v>0.92179287728879733</v>
      </c>
    </row>
    <row r="656" spans="1:15">
      <c r="A656" s="3" t="s">
        <v>690</v>
      </c>
      <c r="B656" s="4">
        <v>45915</v>
      </c>
      <c r="C656" s="5">
        <f t="shared" si="20"/>
        <v>45901</v>
      </c>
      <c r="D656" s="3" t="s">
        <v>39</v>
      </c>
      <c r="E656" s="2" t="s">
        <v>40</v>
      </c>
      <c r="F656" s="2" t="s">
        <v>36</v>
      </c>
      <c r="G656" s="2" t="s">
        <v>37</v>
      </c>
      <c r="H656" s="3" t="s">
        <v>24</v>
      </c>
      <c r="I656" s="6">
        <v>49</v>
      </c>
      <c r="J656" s="6">
        <v>53</v>
      </c>
      <c r="K656" s="7">
        <v>0.94588530512954083</v>
      </c>
      <c r="L656" s="7">
        <v>0.99187088645150079</v>
      </c>
      <c r="M656" s="7">
        <v>0.995</v>
      </c>
      <c r="N656" s="8">
        <v>24320</v>
      </c>
      <c r="O656" s="7">
        <f t="shared" si="21"/>
        <v>1.0169050204746002</v>
      </c>
    </row>
    <row r="657" spans="1:15">
      <c r="A657" s="3" t="s">
        <v>691</v>
      </c>
      <c r="B657" s="4">
        <v>45918</v>
      </c>
      <c r="C657" s="5">
        <f t="shared" si="20"/>
        <v>45901</v>
      </c>
      <c r="D657" s="3" t="s">
        <v>26</v>
      </c>
      <c r="E657" s="2" t="s">
        <v>27</v>
      </c>
      <c r="F657" s="2" t="s">
        <v>28</v>
      </c>
      <c r="G657" s="2" t="s">
        <v>29</v>
      </c>
      <c r="H657" s="3" t="s">
        <v>20</v>
      </c>
      <c r="I657" s="6">
        <v>33</v>
      </c>
      <c r="J657" s="6">
        <v>29</v>
      </c>
      <c r="K657" s="7">
        <v>0.92011507522253388</v>
      </c>
      <c r="L657" s="7">
        <v>0.95454590126411643</v>
      </c>
      <c r="M657" s="7">
        <v>0.83082865987487575</v>
      </c>
      <c r="N657" s="8">
        <v>11800</v>
      </c>
      <c r="O657" s="7">
        <f t="shared" si="21"/>
        <v>0.89089153748537775</v>
      </c>
    </row>
    <row r="658" spans="1:15">
      <c r="A658" s="3" t="s">
        <v>692</v>
      </c>
      <c r="B658" s="4">
        <v>45919</v>
      </c>
      <c r="C658" s="5">
        <f t="shared" si="20"/>
        <v>45901</v>
      </c>
      <c r="D658" s="3" t="s">
        <v>16</v>
      </c>
      <c r="E658" s="2" t="s">
        <v>17</v>
      </c>
      <c r="F658" s="2" t="s">
        <v>18</v>
      </c>
      <c r="G658" s="2" t="s">
        <v>19</v>
      </c>
      <c r="H658" s="3" t="s">
        <v>20</v>
      </c>
      <c r="I658" s="6">
        <v>52</v>
      </c>
      <c r="J658" s="6">
        <v>62</v>
      </c>
      <c r="K658" s="7">
        <v>0.92277687091837124</v>
      </c>
      <c r="L658" s="7">
        <v>0.97039379502834111</v>
      </c>
      <c r="M658" s="7">
        <v>0.94006072369917626</v>
      </c>
      <c r="N658" s="8">
        <v>36510</v>
      </c>
      <c r="O658" s="7">
        <f t="shared" si="21"/>
        <v>1.0411885086467563</v>
      </c>
    </row>
    <row r="659" spans="1:15">
      <c r="A659" s="3" t="s">
        <v>693</v>
      </c>
      <c r="B659" s="4">
        <v>45919</v>
      </c>
      <c r="C659" s="5">
        <f t="shared" si="20"/>
        <v>45901</v>
      </c>
      <c r="D659" s="3" t="s">
        <v>22</v>
      </c>
      <c r="E659" s="2" t="s">
        <v>23</v>
      </c>
      <c r="F659" s="2" t="s">
        <v>18</v>
      </c>
      <c r="G659" s="2" t="s">
        <v>19</v>
      </c>
      <c r="H659" s="3" t="s">
        <v>24</v>
      </c>
      <c r="I659" s="6">
        <v>54</v>
      </c>
      <c r="J659" s="6">
        <v>52</v>
      </c>
      <c r="K659" s="7">
        <v>0.89413417482900737</v>
      </c>
      <c r="L659" s="7">
        <v>0.97099710860804533</v>
      </c>
      <c r="M659" s="7">
        <v>0.92024703883847803</v>
      </c>
      <c r="N659" s="8">
        <v>31740</v>
      </c>
      <c r="O659" s="7">
        <f t="shared" si="21"/>
        <v>0.93841770295133953</v>
      </c>
    </row>
    <row r="660" spans="1:15">
      <c r="A660" s="3" t="s">
        <v>694</v>
      </c>
      <c r="B660" s="4">
        <v>45919</v>
      </c>
      <c r="C660" s="5">
        <f t="shared" si="20"/>
        <v>45901</v>
      </c>
      <c r="D660" s="3" t="s">
        <v>22</v>
      </c>
      <c r="E660" s="2" t="s">
        <v>23</v>
      </c>
      <c r="F660" s="2" t="s">
        <v>18</v>
      </c>
      <c r="G660" s="2" t="s">
        <v>19</v>
      </c>
      <c r="H660" s="3" t="s">
        <v>24</v>
      </c>
      <c r="I660" s="6">
        <v>47</v>
      </c>
      <c r="J660" s="6">
        <v>42</v>
      </c>
      <c r="K660" s="7">
        <v>0.89901979702147772</v>
      </c>
      <c r="L660" s="7">
        <v>0.92273011751817757</v>
      </c>
      <c r="M660" s="7">
        <v>0.95038933977381868</v>
      </c>
      <c r="N660" s="8">
        <v>23070</v>
      </c>
      <c r="O660" s="7">
        <f t="shared" si="21"/>
        <v>0.91068914334849815</v>
      </c>
    </row>
    <row r="661" spans="1:15">
      <c r="A661" s="3" t="s">
        <v>695</v>
      </c>
      <c r="B661" s="4">
        <v>45919</v>
      </c>
      <c r="C661" s="5">
        <f t="shared" si="20"/>
        <v>45901</v>
      </c>
      <c r="D661" s="3" t="s">
        <v>26</v>
      </c>
      <c r="E661" s="2" t="s">
        <v>27</v>
      </c>
      <c r="F661" s="2" t="s">
        <v>28</v>
      </c>
      <c r="G661" s="2" t="s">
        <v>29</v>
      </c>
      <c r="H661" s="3" t="s">
        <v>20</v>
      </c>
      <c r="I661" s="6">
        <v>38</v>
      </c>
      <c r="J661" s="6">
        <v>33</v>
      </c>
      <c r="K661" s="7">
        <v>0.92514933299243474</v>
      </c>
      <c r="L661" s="7">
        <v>0.95686252165121055</v>
      </c>
      <c r="M661" s="7">
        <v>0.93065584677951951</v>
      </c>
      <c r="N661" s="8">
        <v>12760</v>
      </c>
      <c r="O661" s="7">
        <f t="shared" si="21"/>
        <v>0.90831630190432577</v>
      </c>
    </row>
    <row r="662" spans="1:15">
      <c r="A662" s="3" t="s">
        <v>696</v>
      </c>
      <c r="B662" s="4">
        <v>45919</v>
      </c>
      <c r="C662" s="5">
        <f t="shared" si="20"/>
        <v>45901</v>
      </c>
      <c r="D662" s="3" t="s">
        <v>34</v>
      </c>
      <c r="E662" s="2" t="s">
        <v>35</v>
      </c>
      <c r="F662" s="2" t="s">
        <v>36</v>
      </c>
      <c r="G662" s="2" t="s">
        <v>37</v>
      </c>
      <c r="H662" s="3" t="s">
        <v>20</v>
      </c>
      <c r="I662" s="6">
        <v>48</v>
      </c>
      <c r="J662" s="6">
        <v>40</v>
      </c>
      <c r="K662" s="7">
        <v>0.92803378581507845</v>
      </c>
      <c r="L662" s="7">
        <v>0.92444651881351891</v>
      </c>
      <c r="M662" s="7">
        <v>0.90253262516152333</v>
      </c>
      <c r="N662" s="8">
        <v>20050</v>
      </c>
      <c r="O662" s="7">
        <f t="shared" si="21"/>
        <v>0.88451528264143553</v>
      </c>
    </row>
    <row r="663" spans="1:15">
      <c r="A663" s="3" t="s">
        <v>697</v>
      </c>
      <c r="B663" s="4">
        <v>45919</v>
      </c>
      <c r="C663" s="5">
        <f t="shared" si="20"/>
        <v>45901</v>
      </c>
      <c r="D663" s="3" t="s">
        <v>34</v>
      </c>
      <c r="E663" s="2" t="s">
        <v>35</v>
      </c>
      <c r="F663" s="2" t="s">
        <v>36</v>
      </c>
      <c r="G663" s="2" t="s">
        <v>37</v>
      </c>
      <c r="H663" s="3" t="s">
        <v>20</v>
      </c>
      <c r="I663" s="6">
        <v>48</v>
      </c>
      <c r="J663" s="6">
        <v>49</v>
      </c>
      <c r="K663" s="7">
        <v>0.94992956482586433</v>
      </c>
      <c r="L663" s="7">
        <v>0.95972910043952864</v>
      </c>
      <c r="M663" s="7">
        <v>0.94718116625088722</v>
      </c>
      <c r="N663" s="8">
        <v>20100</v>
      </c>
      <c r="O663" s="7">
        <f t="shared" si="21"/>
        <v>0.97921132285590617</v>
      </c>
    </row>
    <row r="664" spans="1:15">
      <c r="A664" s="3" t="s">
        <v>698</v>
      </c>
      <c r="B664" s="4">
        <v>45922</v>
      </c>
      <c r="C664" s="5">
        <f t="shared" si="20"/>
        <v>45901</v>
      </c>
      <c r="D664" s="3" t="s">
        <v>43</v>
      </c>
      <c r="E664" s="2" t="s">
        <v>44</v>
      </c>
      <c r="F664" s="2" t="s">
        <v>28</v>
      </c>
      <c r="G664" s="2" t="s">
        <v>29</v>
      </c>
      <c r="H664" s="3" t="s">
        <v>45</v>
      </c>
      <c r="I664" s="6">
        <v>55</v>
      </c>
      <c r="J664" s="6">
        <v>53</v>
      </c>
      <c r="K664" s="7">
        <v>0.92457166132372148</v>
      </c>
      <c r="L664" s="7">
        <v>0.98417583719524349</v>
      </c>
      <c r="M664" s="7">
        <v>0.95846369143571708</v>
      </c>
      <c r="N664" s="8">
        <v>21640</v>
      </c>
      <c r="O664" s="7">
        <f t="shared" si="21"/>
        <v>0.95591657465190571</v>
      </c>
    </row>
    <row r="665" spans="1:15">
      <c r="A665" s="3" t="s">
        <v>699</v>
      </c>
      <c r="B665" s="4">
        <v>45926</v>
      </c>
      <c r="C665" s="5">
        <f t="shared" si="20"/>
        <v>45901</v>
      </c>
      <c r="D665" s="3" t="s">
        <v>16</v>
      </c>
      <c r="E665" s="2" t="s">
        <v>17</v>
      </c>
      <c r="F665" s="2" t="s">
        <v>18</v>
      </c>
      <c r="G665" s="2" t="s">
        <v>19</v>
      </c>
      <c r="H665" s="3" t="s">
        <v>20</v>
      </c>
      <c r="I665" s="6">
        <v>55</v>
      </c>
      <c r="J665" s="6">
        <v>59</v>
      </c>
      <c r="K665" s="7">
        <v>0.89369699916374057</v>
      </c>
      <c r="L665" s="7">
        <v>0.98909195857038656</v>
      </c>
      <c r="M665" s="7">
        <v>0.87789497551450812</v>
      </c>
      <c r="N665" s="8">
        <v>35620</v>
      </c>
      <c r="O665" s="7">
        <f t="shared" si="21"/>
        <v>0.97645794777030392</v>
      </c>
    </row>
    <row r="666" spans="1:15">
      <c r="A666" s="3" t="s">
        <v>700</v>
      </c>
      <c r="B666" s="4">
        <v>45926</v>
      </c>
      <c r="C666" s="5">
        <f t="shared" si="20"/>
        <v>45901</v>
      </c>
      <c r="D666" s="3" t="s">
        <v>16</v>
      </c>
      <c r="E666" s="2" t="s">
        <v>17</v>
      </c>
      <c r="F666" s="2" t="s">
        <v>18</v>
      </c>
      <c r="G666" s="2" t="s">
        <v>19</v>
      </c>
      <c r="H666" s="3" t="s">
        <v>20</v>
      </c>
      <c r="I666" s="6">
        <v>35</v>
      </c>
      <c r="J666" s="6">
        <v>30</v>
      </c>
      <c r="K666" s="7">
        <v>0.9232269233925301</v>
      </c>
      <c r="L666" s="7">
        <v>0.95775657260765601</v>
      </c>
      <c r="M666" s="7">
        <v>0.94643537661879129</v>
      </c>
      <c r="N666" s="8">
        <v>18680</v>
      </c>
      <c r="O666" s="7">
        <f t="shared" si="21"/>
        <v>0.90661443492018212</v>
      </c>
    </row>
    <row r="667" spans="1:15">
      <c r="A667" s="3" t="s">
        <v>701</v>
      </c>
      <c r="B667" s="4">
        <v>45926</v>
      </c>
      <c r="C667" s="5">
        <f t="shared" si="20"/>
        <v>45901</v>
      </c>
      <c r="D667" s="3" t="s">
        <v>43</v>
      </c>
      <c r="E667" s="2" t="s">
        <v>44</v>
      </c>
      <c r="F667" s="2" t="s">
        <v>28</v>
      </c>
      <c r="G667" s="2" t="s">
        <v>29</v>
      </c>
      <c r="H667" s="3" t="s">
        <v>45</v>
      </c>
      <c r="I667" s="6">
        <v>38</v>
      </c>
      <c r="J667" s="6">
        <v>30</v>
      </c>
      <c r="K667" s="7">
        <v>0.95675372074653509</v>
      </c>
      <c r="L667" s="7">
        <v>1</v>
      </c>
      <c r="M667" s="7">
        <v>0.88719204382513794</v>
      </c>
      <c r="N667" s="8">
        <v>12640</v>
      </c>
      <c r="O667" s="7">
        <f t="shared" si="21"/>
        <v>0.88241631263587195</v>
      </c>
    </row>
    <row r="668" spans="1:15">
      <c r="A668" s="3" t="s">
        <v>702</v>
      </c>
      <c r="B668" s="4">
        <v>45926</v>
      </c>
      <c r="C668" s="5">
        <f t="shared" si="20"/>
        <v>45901</v>
      </c>
      <c r="D668" s="3" t="s">
        <v>43</v>
      </c>
      <c r="E668" s="2" t="s">
        <v>44</v>
      </c>
      <c r="F668" s="2" t="s">
        <v>28</v>
      </c>
      <c r="G668" s="2" t="s">
        <v>29</v>
      </c>
      <c r="H668" s="3" t="s">
        <v>45</v>
      </c>
      <c r="I668" s="6">
        <v>30</v>
      </c>
      <c r="J668" s="6">
        <v>33</v>
      </c>
      <c r="K668" s="7">
        <v>0.96500329316512967</v>
      </c>
      <c r="L668" s="7">
        <v>0.98989345598187961</v>
      </c>
      <c r="M668" s="7">
        <v>0.90833371035905586</v>
      </c>
      <c r="N668" s="8">
        <v>14320</v>
      </c>
      <c r="O668" s="7">
        <f t="shared" si="21"/>
        <v>1.0114015837603756</v>
      </c>
    </row>
    <row r="669" spans="1:15">
      <c r="A669" s="3" t="s">
        <v>703</v>
      </c>
      <c r="B669" s="4">
        <v>45926</v>
      </c>
      <c r="C669" s="5">
        <f t="shared" si="20"/>
        <v>45901</v>
      </c>
      <c r="D669" s="3" t="s">
        <v>43</v>
      </c>
      <c r="E669" s="2" t="s">
        <v>44</v>
      </c>
      <c r="F669" s="2" t="s">
        <v>28</v>
      </c>
      <c r="G669" s="2" t="s">
        <v>29</v>
      </c>
      <c r="H669" s="3" t="s">
        <v>45</v>
      </c>
      <c r="I669" s="6">
        <v>38</v>
      </c>
      <c r="J669" s="6">
        <v>38</v>
      </c>
      <c r="K669" s="7">
        <v>0.9448972631860858</v>
      </c>
      <c r="L669" s="7">
        <v>1</v>
      </c>
      <c r="M669" s="7">
        <v>0.90637125569097887</v>
      </c>
      <c r="N669" s="8">
        <v>17680</v>
      </c>
      <c r="O669" s="7">
        <f t="shared" si="21"/>
        <v>0.96749856693471736</v>
      </c>
    </row>
    <row r="670" spans="1:15">
      <c r="A670" s="3" t="s">
        <v>704</v>
      </c>
      <c r="B670" s="4">
        <v>45929</v>
      </c>
      <c r="C670" s="5">
        <f t="shared" si="20"/>
        <v>45901</v>
      </c>
      <c r="D670" s="3" t="s">
        <v>34</v>
      </c>
      <c r="E670" s="2" t="s">
        <v>35</v>
      </c>
      <c r="F670" s="2" t="s">
        <v>36</v>
      </c>
      <c r="G670" s="2" t="s">
        <v>37</v>
      </c>
      <c r="H670" s="3" t="s">
        <v>20</v>
      </c>
      <c r="I670" s="6">
        <v>45</v>
      </c>
      <c r="J670" s="6">
        <v>46</v>
      </c>
      <c r="K670" s="7">
        <v>0.93749285234383606</v>
      </c>
      <c r="L670" s="7">
        <v>0.95612112589461318</v>
      </c>
      <c r="M670" s="7">
        <v>0.93750853849938554</v>
      </c>
      <c r="N670" s="8">
        <v>22080</v>
      </c>
      <c r="O670" s="7">
        <f t="shared" si="21"/>
        <v>0.97418197855891697</v>
      </c>
    </row>
    <row r="671" spans="1:15">
      <c r="A671" s="3" t="s">
        <v>705</v>
      </c>
      <c r="B671" s="4">
        <v>45930</v>
      </c>
      <c r="C671" s="5">
        <f t="shared" si="20"/>
        <v>45901</v>
      </c>
      <c r="D671" s="3" t="s">
        <v>16</v>
      </c>
      <c r="E671" s="2" t="s">
        <v>17</v>
      </c>
      <c r="F671" s="2" t="s">
        <v>18</v>
      </c>
      <c r="G671" s="2" t="s">
        <v>19</v>
      </c>
      <c r="H671" s="3" t="s">
        <v>20</v>
      </c>
      <c r="I671" s="6">
        <v>50</v>
      </c>
      <c r="J671" s="6">
        <v>51</v>
      </c>
      <c r="K671" s="7">
        <v>0.94942175266990392</v>
      </c>
      <c r="L671" s="7">
        <v>0.95722374357937035</v>
      </c>
      <c r="M671" s="7">
        <v>0.96561652583337987</v>
      </c>
      <c r="N671" s="8">
        <v>29660</v>
      </c>
      <c r="O671" s="7">
        <f t="shared" si="21"/>
        <v>0.9820623048710575</v>
      </c>
    </row>
    <row r="672" spans="1:15">
      <c r="A672" s="3" t="s">
        <v>706</v>
      </c>
      <c r="B672" s="4">
        <v>45930</v>
      </c>
      <c r="C672" s="5">
        <f t="shared" si="20"/>
        <v>45901</v>
      </c>
      <c r="D672" s="3" t="s">
        <v>34</v>
      </c>
      <c r="E672" s="2" t="s">
        <v>35</v>
      </c>
      <c r="F672" s="2" t="s">
        <v>36</v>
      </c>
      <c r="G672" s="2" t="s">
        <v>37</v>
      </c>
      <c r="H672" s="3" t="s">
        <v>20</v>
      </c>
      <c r="I672" s="6">
        <v>39</v>
      </c>
      <c r="J672" s="6">
        <v>41</v>
      </c>
      <c r="K672" s="7">
        <v>0.91802008443589145</v>
      </c>
      <c r="L672" s="7">
        <v>0.93091287985378435</v>
      </c>
      <c r="M672" s="7">
        <v>0.94098791437213425</v>
      </c>
      <c r="N672" s="8">
        <v>18910</v>
      </c>
      <c r="O672" s="7">
        <f t="shared" si="21"/>
        <v>0.97785235647428803</v>
      </c>
    </row>
    <row r="673" spans="1:15">
      <c r="A673" s="3" t="s">
        <v>707</v>
      </c>
      <c r="B673" s="4">
        <v>45930</v>
      </c>
      <c r="C673" s="5">
        <f t="shared" si="20"/>
        <v>45901</v>
      </c>
      <c r="D673" s="3" t="s">
        <v>39</v>
      </c>
      <c r="E673" s="2" t="s">
        <v>40</v>
      </c>
      <c r="F673" s="2" t="s">
        <v>36</v>
      </c>
      <c r="G673" s="2" t="s">
        <v>37</v>
      </c>
      <c r="H673" s="3" t="s">
        <v>24</v>
      </c>
      <c r="I673" s="6">
        <v>49</v>
      </c>
      <c r="J673" s="6">
        <v>50</v>
      </c>
      <c r="K673" s="7">
        <v>0.9622508707477585</v>
      </c>
      <c r="L673" s="7">
        <v>0.96397726316193388</v>
      </c>
      <c r="M673" s="7">
        <v>0.913889563716759</v>
      </c>
      <c r="N673" s="8">
        <v>24840</v>
      </c>
      <c r="O673" s="7">
        <f t="shared" si="21"/>
        <v>0.97610048521070403</v>
      </c>
    </row>
    <row r="674" spans="1:15">
      <c r="A674" s="3" t="s">
        <v>708</v>
      </c>
      <c r="B674" s="4">
        <v>45932</v>
      </c>
      <c r="C674" s="5">
        <f t="shared" si="20"/>
        <v>45931</v>
      </c>
      <c r="D674" s="3" t="s">
        <v>16</v>
      </c>
      <c r="E674" s="2" t="s">
        <v>17</v>
      </c>
      <c r="F674" s="2" t="s">
        <v>18</v>
      </c>
      <c r="G674" s="2" t="s">
        <v>19</v>
      </c>
      <c r="H674" s="3" t="s">
        <v>20</v>
      </c>
      <c r="I674" s="6">
        <v>46</v>
      </c>
      <c r="J674" s="6">
        <v>43</v>
      </c>
      <c r="K674" s="7">
        <v>0.89388843217953418</v>
      </c>
      <c r="L674" s="7">
        <v>0.94987620916750548</v>
      </c>
      <c r="M674" s="7">
        <v>0.94534719087732111</v>
      </c>
      <c r="N674" s="8">
        <v>25590</v>
      </c>
      <c r="O674" s="7">
        <f t="shared" si="21"/>
        <v>0.92893602107373452</v>
      </c>
    </row>
    <row r="675" spans="1:15">
      <c r="A675" s="3" t="s">
        <v>709</v>
      </c>
      <c r="B675" s="4">
        <v>45932</v>
      </c>
      <c r="C675" s="5">
        <f t="shared" si="20"/>
        <v>45931</v>
      </c>
      <c r="D675" s="3" t="s">
        <v>22</v>
      </c>
      <c r="E675" s="2" t="s">
        <v>23</v>
      </c>
      <c r="F675" s="2" t="s">
        <v>18</v>
      </c>
      <c r="G675" s="2" t="s">
        <v>19</v>
      </c>
      <c r="H675" s="3" t="s">
        <v>24</v>
      </c>
      <c r="I675" s="6">
        <v>47</v>
      </c>
      <c r="J675" s="6">
        <v>44</v>
      </c>
      <c r="K675" s="7">
        <v>0.92468101515069079</v>
      </c>
      <c r="L675" s="7">
        <v>0.96685781000481374</v>
      </c>
      <c r="M675" s="7">
        <v>0.98710042500685613</v>
      </c>
      <c r="N675" s="8">
        <v>27470</v>
      </c>
      <c r="O675" s="7">
        <f t="shared" si="21"/>
        <v>0.94808709539614899</v>
      </c>
    </row>
    <row r="676" spans="1:15">
      <c r="A676" s="3" t="s">
        <v>710</v>
      </c>
      <c r="B676" s="4">
        <v>45933</v>
      </c>
      <c r="C676" s="5">
        <f t="shared" si="20"/>
        <v>45931</v>
      </c>
      <c r="D676" s="3" t="s">
        <v>16</v>
      </c>
      <c r="E676" s="2" t="s">
        <v>17</v>
      </c>
      <c r="F676" s="2" t="s">
        <v>18</v>
      </c>
      <c r="G676" s="2" t="s">
        <v>19</v>
      </c>
      <c r="H676" s="3" t="s">
        <v>20</v>
      </c>
      <c r="I676" s="6">
        <v>47</v>
      </c>
      <c r="J676" s="6">
        <v>51</v>
      </c>
      <c r="K676" s="7">
        <v>0.92768018260994634</v>
      </c>
      <c r="L676" s="7">
        <v>0.97242445761980134</v>
      </c>
      <c r="M676" s="7">
        <v>0.93958568395400544</v>
      </c>
      <c r="N676" s="8">
        <v>30570</v>
      </c>
      <c r="O676" s="7">
        <f t="shared" si="21"/>
        <v>0.99974340427774722</v>
      </c>
    </row>
    <row r="677" spans="1:15">
      <c r="A677" s="3" t="s">
        <v>711</v>
      </c>
      <c r="B677" s="4">
        <v>45933</v>
      </c>
      <c r="C677" s="5">
        <f t="shared" si="20"/>
        <v>45931</v>
      </c>
      <c r="D677" s="3" t="s">
        <v>16</v>
      </c>
      <c r="E677" s="2" t="s">
        <v>17</v>
      </c>
      <c r="F677" s="2" t="s">
        <v>18</v>
      </c>
      <c r="G677" s="2" t="s">
        <v>19</v>
      </c>
      <c r="H677" s="3" t="s">
        <v>20</v>
      </c>
      <c r="I677" s="6">
        <v>28</v>
      </c>
      <c r="J677" s="6">
        <v>28</v>
      </c>
      <c r="K677" s="7">
        <v>0.995</v>
      </c>
      <c r="L677" s="7">
        <v>0.96074397942706435</v>
      </c>
      <c r="M677" s="7">
        <v>0.92630144127874725</v>
      </c>
      <c r="N677" s="8">
        <v>15560</v>
      </c>
      <c r="O677" s="7">
        <f t="shared" si="21"/>
        <v>0.97812188516980914</v>
      </c>
    </row>
    <row r="678" spans="1:15">
      <c r="A678" s="3" t="s">
        <v>712</v>
      </c>
      <c r="B678" s="4">
        <v>45933</v>
      </c>
      <c r="C678" s="5">
        <f t="shared" si="20"/>
        <v>45931</v>
      </c>
      <c r="D678" s="3" t="s">
        <v>34</v>
      </c>
      <c r="E678" s="2" t="s">
        <v>35</v>
      </c>
      <c r="F678" s="2" t="s">
        <v>36</v>
      </c>
      <c r="G678" s="2" t="s">
        <v>37</v>
      </c>
      <c r="H678" s="3" t="s">
        <v>20</v>
      </c>
      <c r="I678" s="6">
        <v>30</v>
      </c>
      <c r="J678" s="6">
        <v>28</v>
      </c>
      <c r="K678" s="7">
        <v>0.88106724676581027</v>
      </c>
      <c r="L678" s="7">
        <v>0.97489910560340964</v>
      </c>
      <c r="M678" s="7">
        <v>0.90907136152107337</v>
      </c>
      <c r="N678" s="8">
        <v>13930</v>
      </c>
      <c r="O678" s="7">
        <f t="shared" si="21"/>
        <v>0.921649283169512</v>
      </c>
    </row>
    <row r="679" spans="1:15">
      <c r="A679" s="3" t="s">
        <v>713</v>
      </c>
      <c r="B679" s="4">
        <v>45933</v>
      </c>
      <c r="C679" s="5">
        <f t="shared" si="20"/>
        <v>45931</v>
      </c>
      <c r="D679" s="3" t="s">
        <v>39</v>
      </c>
      <c r="E679" s="2" t="s">
        <v>40</v>
      </c>
      <c r="F679" s="2" t="s">
        <v>36</v>
      </c>
      <c r="G679" s="2" t="s">
        <v>37</v>
      </c>
      <c r="H679" s="3" t="s">
        <v>24</v>
      </c>
      <c r="I679" s="6">
        <v>51</v>
      </c>
      <c r="J679" s="6">
        <v>56</v>
      </c>
      <c r="K679" s="7">
        <v>0.98425770514974797</v>
      </c>
      <c r="L679" s="7">
        <v>0.96614829827763371</v>
      </c>
      <c r="M679" s="7">
        <v>0.92065939171478606</v>
      </c>
      <c r="N679" s="8">
        <v>24210</v>
      </c>
      <c r="O679" s="7">
        <f t="shared" si="21"/>
        <v>1.0143342356465492</v>
      </c>
    </row>
    <row r="680" spans="1:15">
      <c r="A680" s="3" t="s">
        <v>714</v>
      </c>
      <c r="B680" s="4">
        <v>45937</v>
      </c>
      <c r="C680" s="5">
        <f t="shared" si="20"/>
        <v>45931</v>
      </c>
      <c r="D680" s="3" t="s">
        <v>16</v>
      </c>
      <c r="E680" s="2" t="s">
        <v>17</v>
      </c>
      <c r="F680" s="2" t="s">
        <v>18</v>
      </c>
      <c r="G680" s="2" t="s">
        <v>19</v>
      </c>
      <c r="H680" s="3" t="s">
        <v>20</v>
      </c>
      <c r="I680" s="6">
        <v>44</v>
      </c>
      <c r="J680" s="6">
        <v>43</v>
      </c>
      <c r="K680" s="7">
        <v>0.93869988912878166</v>
      </c>
      <c r="L680" s="7">
        <v>0.956364026647743</v>
      </c>
      <c r="M680" s="7">
        <v>0.93172358131005895</v>
      </c>
      <c r="N680" s="8">
        <v>27110</v>
      </c>
      <c r="O680" s="7">
        <f t="shared" si="21"/>
        <v>0.95538338345045959</v>
      </c>
    </row>
    <row r="681" spans="1:15">
      <c r="A681" s="3" t="s">
        <v>715</v>
      </c>
      <c r="B681" s="4">
        <v>45937</v>
      </c>
      <c r="C681" s="5">
        <f t="shared" si="20"/>
        <v>45931</v>
      </c>
      <c r="D681" s="3" t="s">
        <v>43</v>
      </c>
      <c r="E681" s="2" t="s">
        <v>44</v>
      </c>
      <c r="F681" s="2" t="s">
        <v>28</v>
      </c>
      <c r="G681" s="2" t="s">
        <v>29</v>
      </c>
      <c r="H681" s="3" t="s">
        <v>45</v>
      </c>
      <c r="I681" s="6">
        <v>28</v>
      </c>
      <c r="J681" s="6">
        <v>27</v>
      </c>
      <c r="K681" s="7">
        <v>0.98823798353952907</v>
      </c>
      <c r="L681" s="7">
        <v>0.97253752938944282</v>
      </c>
      <c r="M681" s="7">
        <v>0.90173791971765749</v>
      </c>
      <c r="N681" s="8">
        <v>11770</v>
      </c>
      <c r="O681" s="7">
        <f t="shared" si="21"/>
        <v>0.95900199495111593</v>
      </c>
    </row>
    <row r="682" spans="1:15">
      <c r="A682" s="3" t="s">
        <v>716</v>
      </c>
      <c r="B682" s="4">
        <v>45937</v>
      </c>
      <c r="C682" s="5">
        <f t="shared" si="20"/>
        <v>45931</v>
      </c>
      <c r="D682" s="3" t="s">
        <v>34</v>
      </c>
      <c r="E682" s="2" t="s">
        <v>35</v>
      </c>
      <c r="F682" s="2" t="s">
        <v>36</v>
      </c>
      <c r="G682" s="2" t="s">
        <v>37</v>
      </c>
      <c r="H682" s="3" t="s">
        <v>20</v>
      </c>
      <c r="I682" s="6">
        <v>35</v>
      </c>
      <c r="J682" s="6">
        <v>35</v>
      </c>
      <c r="K682" s="7">
        <v>0.9392399564416507</v>
      </c>
      <c r="L682" s="7">
        <v>0.96387868822915657</v>
      </c>
      <c r="M682" s="7">
        <v>0.9692201228981151</v>
      </c>
      <c r="N682" s="8">
        <v>14300</v>
      </c>
      <c r="O682" s="7">
        <f t="shared" si="21"/>
        <v>0.97323581692440919</v>
      </c>
    </row>
    <row r="683" spans="1:15">
      <c r="A683" s="3" t="s">
        <v>717</v>
      </c>
      <c r="B683" s="4">
        <v>45938</v>
      </c>
      <c r="C683" s="5">
        <f t="shared" si="20"/>
        <v>45931</v>
      </c>
      <c r="D683" s="3" t="s">
        <v>16</v>
      </c>
      <c r="E683" s="2" t="s">
        <v>17</v>
      </c>
      <c r="F683" s="2" t="s">
        <v>18</v>
      </c>
      <c r="G683" s="2" t="s">
        <v>19</v>
      </c>
      <c r="H683" s="3" t="s">
        <v>20</v>
      </c>
      <c r="I683" s="6">
        <v>48</v>
      </c>
      <c r="J683" s="6">
        <v>48</v>
      </c>
      <c r="K683" s="7">
        <v>0.9625918264134643</v>
      </c>
      <c r="L683" s="7">
        <v>0.95337208782093397</v>
      </c>
      <c r="M683" s="7">
        <v>0.92049220471341009</v>
      </c>
      <c r="N683" s="8">
        <v>25880</v>
      </c>
      <c r="O683" s="7">
        <f t="shared" si="21"/>
        <v>0.96775221071918816</v>
      </c>
    </row>
    <row r="684" spans="1:15">
      <c r="A684" s="3" t="s">
        <v>718</v>
      </c>
      <c r="B684" s="4">
        <v>45938</v>
      </c>
      <c r="C684" s="5">
        <f t="shared" si="20"/>
        <v>45931</v>
      </c>
      <c r="D684" s="3" t="s">
        <v>26</v>
      </c>
      <c r="E684" s="2" t="s">
        <v>27</v>
      </c>
      <c r="F684" s="2" t="s">
        <v>28</v>
      </c>
      <c r="G684" s="2" t="s">
        <v>29</v>
      </c>
      <c r="H684" s="3" t="s">
        <v>20</v>
      </c>
      <c r="I684" s="6">
        <v>49</v>
      </c>
      <c r="J684" s="6">
        <v>56</v>
      </c>
      <c r="K684" s="7">
        <v>0.86217227911079064</v>
      </c>
      <c r="L684" s="7">
        <v>0.94960985444069368</v>
      </c>
      <c r="M684" s="7">
        <v>0.86120032874208785</v>
      </c>
      <c r="N684" s="8">
        <v>19870</v>
      </c>
      <c r="O684" s="7">
        <f t="shared" si="21"/>
        <v>0.98736747083507637</v>
      </c>
    </row>
    <row r="685" spans="1:15">
      <c r="A685" s="3" t="s">
        <v>719</v>
      </c>
      <c r="B685" s="4">
        <v>45940</v>
      </c>
      <c r="C685" s="5">
        <f t="shared" si="20"/>
        <v>45931</v>
      </c>
      <c r="D685" s="3" t="s">
        <v>22</v>
      </c>
      <c r="E685" s="2" t="s">
        <v>23</v>
      </c>
      <c r="F685" s="2" t="s">
        <v>18</v>
      </c>
      <c r="G685" s="2" t="s">
        <v>19</v>
      </c>
      <c r="H685" s="3" t="s">
        <v>24</v>
      </c>
      <c r="I685" s="6">
        <v>47</v>
      </c>
      <c r="J685" s="6">
        <v>42</v>
      </c>
      <c r="K685" s="7">
        <v>0.96305118863278472</v>
      </c>
      <c r="L685" s="7">
        <v>0.96019240578987308</v>
      </c>
      <c r="M685" s="7">
        <v>0.90964221004240398</v>
      </c>
      <c r="N685" s="8">
        <v>21670</v>
      </c>
      <c r="O685" s="7">
        <f t="shared" si="21"/>
        <v>0.92416690854579631</v>
      </c>
    </row>
    <row r="686" spans="1:15">
      <c r="A686" s="3" t="s">
        <v>720</v>
      </c>
      <c r="B686" s="4">
        <v>45940</v>
      </c>
      <c r="C686" s="5">
        <f t="shared" si="20"/>
        <v>45931</v>
      </c>
      <c r="D686" s="3" t="s">
        <v>22</v>
      </c>
      <c r="E686" s="2" t="s">
        <v>23</v>
      </c>
      <c r="F686" s="2" t="s">
        <v>18</v>
      </c>
      <c r="G686" s="2" t="s">
        <v>19</v>
      </c>
      <c r="H686" s="3" t="s">
        <v>24</v>
      </c>
      <c r="I686" s="6">
        <v>28</v>
      </c>
      <c r="J686" s="6">
        <v>29</v>
      </c>
      <c r="K686" s="7">
        <v>0.94008787195234556</v>
      </c>
      <c r="L686" s="7">
        <v>0.94590058261192644</v>
      </c>
      <c r="M686" s="7">
        <v>0.97083405018424807</v>
      </c>
      <c r="N686" s="8">
        <v>14630</v>
      </c>
      <c r="O686" s="7">
        <f t="shared" si="21"/>
        <v>0.98535957970243937</v>
      </c>
    </row>
    <row r="687" spans="1:15">
      <c r="A687" s="3" t="s">
        <v>721</v>
      </c>
      <c r="B687" s="4">
        <v>45940</v>
      </c>
      <c r="C687" s="5">
        <f t="shared" si="20"/>
        <v>45931</v>
      </c>
      <c r="D687" s="3" t="s">
        <v>22</v>
      </c>
      <c r="E687" s="2" t="s">
        <v>23</v>
      </c>
      <c r="F687" s="2" t="s">
        <v>18</v>
      </c>
      <c r="G687" s="2" t="s">
        <v>19</v>
      </c>
      <c r="H687" s="3" t="s">
        <v>24</v>
      </c>
      <c r="I687" s="6">
        <v>36</v>
      </c>
      <c r="J687" s="6">
        <v>35</v>
      </c>
      <c r="K687" s="7">
        <v>0.89657588919667586</v>
      </c>
      <c r="L687" s="7">
        <v>0.96312792765518873</v>
      </c>
      <c r="M687" s="7">
        <v>0.98394239199707667</v>
      </c>
      <c r="N687" s="8">
        <v>18690</v>
      </c>
      <c r="O687" s="7">
        <f t="shared" si="21"/>
        <v>0.9542905287357516</v>
      </c>
    </row>
    <row r="688" spans="1:15">
      <c r="A688" s="3" t="s">
        <v>722</v>
      </c>
      <c r="B688" s="4">
        <v>45940</v>
      </c>
      <c r="C688" s="5">
        <f t="shared" si="20"/>
        <v>45931</v>
      </c>
      <c r="D688" s="3" t="s">
        <v>43</v>
      </c>
      <c r="E688" s="2" t="s">
        <v>44</v>
      </c>
      <c r="F688" s="2" t="s">
        <v>28</v>
      </c>
      <c r="G688" s="2" t="s">
        <v>29</v>
      </c>
      <c r="H688" s="3" t="s">
        <v>45</v>
      </c>
      <c r="I688" s="6">
        <v>50</v>
      </c>
      <c r="J688" s="6">
        <v>53</v>
      </c>
      <c r="K688" s="7">
        <v>0.93389660858793466</v>
      </c>
      <c r="L688" s="7">
        <v>0.96658727164309588</v>
      </c>
      <c r="M688" s="7">
        <v>0.86519864303308547</v>
      </c>
      <c r="N688" s="8">
        <v>19630</v>
      </c>
      <c r="O688" s="7">
        <f t="shared" si="21"/>
        <v>0.97550197150006512</v>
      </c>
    </row>
    <row r="689" spans="1:15">
      <c r="A689" s="3" t="s">
        <v>723</v>
      </c>
      <c r="B689" s="4">
        <v>45940</v>
      </c>
      <c r="C689" s="5">
        <f t="shared" si="20"/>
        <v>45931</v>
      </c>
      <c r="D689" s="3" t="s">
        <v>39</v>
      </c>
      <c r="E689" s="2" t="s">
        <v>40</v>
      </c>
      <c r="F689" s="2" t="s">
        <v>36</v>
      </c>
      <c r="G689" s="2" t="s">
        <v>37</v>
      </c>
      <c r="H689" s="3" t="s">
        <v>24</v>
      </c>
      <c r="I689" s="6">
        <v>53</v>
      </c>
      <c r="J689" s="6">
        <v>55</v>
      </c>
      <c r="K689" s="7">
        <v>0.99265420968637896</v>
      </c>
      <c r="L689" s="7">
        <v>0.97836635378004511</v>
      </c>
      <c r="M689" s="7">
        <v>0.96210597136112641</v>
      </c>
      <c r="N689" s="8">
        <v>24350</v>
      </c>
      <c r="O689" s="7">
        <f t="shared" si="21"/>
        <v>1.0024340393834683</v>
      </c>
    </row>
    <row r="690" spans="1:15">
      <c r="A690" s="3" t="s">
        <v>724</v>
      </c>
      <c r="B690" s="4">
        <v>45944</v>
      </c>
      <c r="C690" s="5">
        <f t="shared" si="20"/>
        <v>45931</v>
      </c>
      <c r="D690" s="3" t="s">
        <v>16</v>
      </c>
      <c r="E690" s="2" t="s">
        <v>17</v>
      </c>
      <c r="F690" s="2" t="s">
        <v>18</v>
      </c>
      <c r="G690" s="2" t="s">
        <v>19</v>
      </c>
      <c r="H690" s="3" t="s">
        <v>20</v>
      </c>
      <c r="I690" s="6">
        <v>33</v>
      </c>
      <c r="J690" s="6">
        <v>35</v>
      </c>
      <c r="K690" s="7">
        <v>0.98283204799877444</v>
      </c>
      <c r="L690" s="7">
        <v>0.95548294526896538</v>
      </c>
      <c r="M690" s="7">
        <v>0.96200902789098941</v>
      </c>
      <c r="N690" s="8">
        <v>21630</v>
      </c>
      <c r="O690" s="7">
        <f t="shared" si="21"/>
        <v>1.0056746836106605</v>
      </c>
    </row>
    <row r="691" spans="1:15">
      <c r="A691" s="3" t="s">
        <v>725</v>
      </c>
      <c r="B691" s="4">
        <v>45944</v>
      </c>
      <c r="C691" s="5">
        <f t="shared" si="20"/>
        <v>45931</v>
      </c>
      <c r="D691" s="3" t="s">
        <v>39</v>
      </c>
      <c r="E691" s="2" t="s">
        <v>40</v>
      </c>
      <c r="F691" s="2" t="s">
        <v>36</v>
      </c>
      <c r="G691" s="2" t="s">
        <v>37</v>
      </c>
      <c r="H691" s="3" t="s">
        <v>24</v>
      </c>
      <c r="I691" s="6">
        <v>28</v>
      </c>
      <c r="J691" s="6">
        <v>29</v>
      </c>
      <c r="K691" s="7">
        <v>0.95341639929262256</v>
      </c>
      <c r="L691" s="7">
        <v>0.99460355529387323</v>
      </c>
      <c r="M691" s="7">
        <v>0.93791051672343517</v>
      </c>
      <c r="N691" s="8">
        <v>13400</v>
      </c>
      <c r="O691" s="7">
        <f t="shared" si="21"/>
        <v>0.98941245074763806</v>
      </c>
    </row>
    <row r="692" spans="1:15">
      <c r="A692" s="3" t="s">
        <v>726</v>
      </c>
      <c r="B692" s="4">
        <v>45945</v>
      </c>
      <c r="C692" s="5">
        <f t="shared" si="20"/>
        <v>45931</v>
      </c>
      <c r="D692" s="3" t="s">
        <v>26</v>
      </c>
      <c r="E692" s="2" t="s">
        <v>27</v>
      </c>
      <c r="F692" s="2" t="s">
        <v>28</v>
      </c>
      <c r="G692" s="2" t="s">
        <v>29</v>
      </c>
      <c r="H692" s="3" t="s">
        <v>20</v>
      </c>
      <c r="I692" s="6">
        <v>30</v>
      </c>
      <c r="J692" s="6">
        <v>29</v>
      </c>
      <c r="K692" s="7">
        <v>0.91533584978620053</v>
      </c>
      <c r="L692" s="7">
        <v>0.94445502594494224</v>
      </c>
      <c r="M692" s="7">
        <v>0.87599747837654707</v>
      </c>
      <c r="N692" s="8">
        <v>11940</v>
      </c>
      <c r="O692" s="7">
        <f t="shared" si="21"/>
        <v>0.93236837868026756</v>
      </c>
    </row>
    <row r="693" spans="1:15">
      <c r="A693" s="3" t="s">
        <v>727</v>
      </c>
      <c r="B693" s="4">
        <v>45945</v>
      </c>
      <c r="C693" s="5">
        <f t="shared" si="20"/>
        <v>45931</v>
      </c>
      <c r="D693" s="3" t="s">
        <v>34</v>
      </c>
      <c r="E693" s="2" t="s">
        <v>35</v>
      </c>
      <c r="F693" s="2" t="s">
        <v>36</v>
      </c>
      <c r="G693" s="2" t="s">
        <v>37</v>
      </c>
      <c r="H693" s="3" t="s">
        <v>20</v>
      </c>
      <c r="I693" s="6">
        <v>47</v>
      </c>
      <c r="J693" s="6">
        <v>48</v>
      </c>
      <c r="K693" s="7">
        <v>0.91499274032882216</v>
      </c>
      <c r="L693" s="7">
        <v>0.94770352903623989</v>
      </c>
      <c r="M693" s="7">
        <v>0.93365184814908564</v>
      </c>
      <c r="N693" s="8">
        <v>21620</v>
      </c>
      <c r="O693" s="7">
        <f t="shared" si="21"/>
        <v>0.966144722365331</v>
      </c>
    </row>
    <row r="694" spans="1:15">
      <c r="A694" s="3" t="s">
        <v>728</v>
      </c>
      <c r="B694" s="4">
        <v>45945</v>
      </c>
      <c r="C694" s="5">
        <f t="shared" si="20"/>
        <v>45931</v>
      </c>
      <c r="D694" s="3" t="s">
        <v>39</v>
      </c>
      <c r="E694" s="2" t="s">
        <v>40</v>
      </c>
      <c r="F694" s="2" t="s">
        <v>36</v>
      </c>
      <c r="G694" s="2" t="s">
        <v>37</v>
      </c>
      <c r="H694" s="3" t="s">
        <v>24</v>
      </c>
      <c r="I694" s="6">
        <v>49</v>
      </c>
      <c r="J694" s="6">
        <v>59</v>
      </c>
      <c r="K694" s="7">
        <v>0.94107838502832386</v>
      </c>
      <c r="L694" s="7">
        <v>0.97827025523965727</v>
      </c>
      <c r="M694" s="7">
        <v>0.96595188785778663</v>
      </c>
      <c r="N694" s="8">
        <v>28750</v>
      </c>
      <c r="O694" s="7">
        <f t="shared" si="21"/>
        <v>1.0552005121145869</v>
      </c>
    </row>
    <row r="695" spans="1:15">
      <c r="A695" s="3" t="s">
        <v>729</v>
      </c>
      <c r="B695" s="4">
        <v>45946</v>
      </c>
      <c r="C695" s="5">
        <f t="shared" si="20"/>
        <v>45931</v>
      </c>
      <c r="D695" s="3" t="s">
        <v>16</v>
      </c>
      <c r="E695" s="2" t="s">
        <v>17</v>
      </c>
      <c r="F695" s="2" t="s">
        <v>18</v>
      </c>
      <c r="G695" s="2" t="s">
        <v>19</v>
      </c>
      <c r="H695" s="3" t="s">
        <v>20</v>
      </c>
      <c r="I695" s="6">
        <v>31</v>
      </c>
      <c r="J695" s="6">
        <v>34</v>
      </c>
      <c r="K695" s="7">
        <v>0.94649869687202648</v>
      </c>
      <c r="L695" s="7">
        <v>0.97492478211805089</v>
      </c>
      <c r="M695" s="7">
        <v>0.97347191955051071</v>
      </c>
      <c r="N695" s="8">
        <v>20510</v>
      </c>
      <c r="O695" s="7">
        <f t="shared" si="21"/>
        <v>1.0162674528651712</v>
      </c>
    </row>
    <row r="696" spans="1:15">
      <c r="A696" s="3" t="s">
        <v>730</v>
      </c>
      <c r="B696" s="4">
        <v>45946</v>
      </c>
      <c r="C696" s="5">
        <f t="shared" si="20"/>
        <v>45931</v>
      </c>
      <c r="D696" s="3" t="s">
        <v>39</v>
      </c>
      <c r="E696" s="2" t="s">
        <v>40</v>
      </c>
      <c r="F696" s="2" t="s">
        <v>36</v>
      </c>
      <c r="G696" s="2" t="s">
        <v>37</v>
      </c>
      <c r="H696" s="3" t="s">
        <v>24</v>
      </c>
      <c r="I696" s="6">
        <v>34</v>
      </c>
      <c r="J696" s="6">
        <v>35</v>
      </c>
      <c r="K696" s="7">
        <v>0.97811629915385689</v>
      </c>
      <c r="L696" s="7">
        <v>0.9773695820935443</v>
      </c>
      <c r="M696" s="7">
        <v>0.99334322418162513</v>
      </c>
      <c r="N696" s="8">
        <v>16720</v>
      </c>
      <c r="O696" s="7">
        <f t="shared" si="21"/>
        <v>1.0015678628211737</v>
      </c>
    </row>
    <row r="697" spans="1:15">
      <c r="A697" s="3" t="s">
        <v>731</v>
      </c>
      <c r="B697" s="4">
        <v>45947</v>
      </c>
      <c r="C697" s="5">
        <f t="shared" si="20"/>
        <v>45931</v>
      </c>
      <c r="D697" s="3" t="s">
        <v>22</v>
      </c>
      <c r="E697" s="2" t="s">
        <v>23</v>
      </c>
      <c r="F697" s="2" t="s">
        <v>18</v>
      </c>
      <c r="G697" s="2" t="s">
        <v>19</v>
      </c>
      <c r="H697" s="3" t="s">
        <v>24</v>
      </c>
      <c r="I697" s="6">
        <v>43</v>
      </c>
      <c r="J697" s="6">
        <v>45</v>
      </c>
      <c r="K697" s="7">
        <v>0.90076025538799387</v>
      </c>
      <c r="L697" s="7">
        <v>0.98782627857388261</v>
      </c>
      <c r="M697" s="7">
        <v>0.98137565588299491</v>
      </c>
      <c r="N697" s="8">
        <v>27190</v>
      </c>
      <c r="O697" s="7">
        <f t="shared" si="21"/>
        <v>0.9882437879724707</v>
      </c>
    </row>
    <row r="698" spans="1:15">
      <c r="A698" s="3" t="s">
        <v>732</v>
      </c>
      <c r="B698" s="4">
        <v>45947</v>
      </c>
      <c r="C698" s="5">
        <f t="shared" si="20"/>
        <v>45931</v>
      </c>
      <c r="D698" s="3" t="s">
        <v>22</v>
      </c>
      <c r="E698" s="2" t="s">
        <v>23</v>
      </c>
      <c r="F698" s="2" t="s">
        <v>18</v>
      </c>
      <c r="G698" s="2" t="s">
        <v>19</v>
      </c>
      <c r="H698" s="3" t="s">
        <v>24</v>
      </c>
      <c r="I698" s="6">
        <v>54</v>
      </c>
      <c r="J698" s="6">
        <v>51</v>
      </c>
      <c r="K698" s="7">
        <v>0.91362594706816225</v>
      </c>
      <c r="L698" s="7">
        <v>0.95252601807794257</v>
      </c>
      <c r="M698" s="7">
        <v>0.93079252632510245</v>
      </c>
      <c r="N698" s="8">
        <v>25820</v>
      </c>
      <c r="O698" s="7">
        <f t="shared" si="21"/>
        <v>0.93522167252153021</v>
      </c>
    </row>
    <row r="699" spans="1:15">
      <c r="A699" s="3" t="s">
        <v>733</v>
      </c>
      <c r="B699" s="4">
        <v>45947</v>
      </c>
      <c r="C699" s="5">
        <f t="shared" si="20"/>
        <v>45931</v>
      </c>
      <c r="D699" s="3" t="s">
        <v>43</v>
      </c>
      <c r="E699" s="2" t="s">
        <v>44</v>
      </c>
      <c r="F699" s="2" t="s">
        <v>28</v>
      </c>
      <c r="G699" s="2" t="s">
        <v>29</v>
      </c>
      <c r="H699" s="3" t="s">
        <v>45</v>
      </c>
      <c r="I699" s="6">
        <v>45</v>
      </c>
      <c r="J699" s="6">
        <v>43</v>
      </c>
      <c r="K699" s="7">
        <v>0.96899775172871383</v>
      </c>
      <c r="L699" s="7">
        <v>0.971495711015117</v>
      </c>
      <c r="M699" s="7">
        <v>0.93176294605810661</v>
      </c>
      <c r="N699" s="8">
        <v>15980</v>
      </c>
      <c r="O699" s="7">
        <f t="shared" si="21"/>
        <v>0.95654860601828962</v>
      </c>
    </row>
    <row r="700" spans="1:15">
      <c r="A700" s="3" t="s">
        <v>734</v>
      </c>
      <c r="B700" s="4">
        <v>45947</v>
      </c>
      <c r="C700" s="5">
        <f t="shared" si="20"/>
        <v>45931</v>
      </c>
      <c r="D700" s="3" t="s">
        <v>43</v>
      </c>
      <c r="E700" s="2" t="s">
        <v>44</v>
      </c>
      <c r="F700" s="2" t="s">
        <v>28</v>
      </c>
      <c r="G700" s="2" t="s">
        <v>29</v>
      </c>
      <c r="H700" s="3" t="s">
        <v>45</v>
      </c>
      <c r="I700" s="6">
        <v>38</v>
      </c>
      <c r="J700" s="6">
        <v>40</v>
      </c>
      <c r="K700" s="7">
        <v>0.93849589759121554</v>
      </c>
      <c r="L700" s="7">
        <v>0.97080151559022509</v>
      </c>
      <c r="M700" s="7">
        <v>0.86468600873589896</v>
      </c>
      <c r="N700" s="8">
        <v>15950</v>
      </c>
      <c r="O700" s="7">
        <f t="shared" si="21"/>
        <v>0.97423403506246475</v>
      </c>
    </row>
    <row r="701" spans="1:15">
      <c r="A701" s="3" t="s">
        <v>735</v>
      </c>
      <c r="B701" s="4">
        <v>45947</v>
      </c>
      <c r="C701" s="5">
        <f t="shared" si="20"/>
        <v>45931</v>
      </c>
      <c r="D701" s="3" t="s">
        <v>39</v>
      </c>
      <c r="E701" s="2" t="s">
        <v>40</v>
      </c>
      <c r="F701" s="2" t="s">
        <v>36</v>
      </c>
      <c r="G701" s="2" t="s">
        <v>37</v>
      </c>
      <c r="H701" s="3" t="s">
        <v>24</v>
      </c>
      <c r="I701" s="6">
        <v>43</v>
      </c>
      <c r="J701" s="6">
        <v>43</v>
      </c>
      <c r="K701" s="7">
        <v>0.96964399792002609</v>
      </c>
      <c r="L701" s="7">
        <v>0.96205638870993082</v>
      </c>
      <c r="M701" s="7">
        <v>0.92936865319837381</v>
      </c>
      <c r="N701" s="8">
        <v>19660</v>
      </c>
      <c r="O701" s="7">
        <f t="shared" si="21"/>
        <v>0.97259318842617093</v>
      </c>
    </row>
    <row r="702" spans="1:15">
      <c r="A702" s="3" t="s">
        <v>736</v>
      </c>
      <c r="B702" s="4">
        <v>45950</v>
      </c>
      <c r="C702" s="5">
        <f t="shared" si="20"/>
        <v>45931</v>
      </c>
      <c r="D702" s="3" t="s">
        <v>22</v>
      </c>
      <c r="E702" s="2" t="s">
        <v>23</v>
      </c>
      <c r="F702" s="2" t="s">
        <v>18</v>
      </c>
      <c r="G702" s="2" t="s">
        <v>19</v>
      </c>
      <c r="H702" s="3" t="s">
        <v>24</v>
      </c>
      <c r="I702" s="6">
        <v>53</v>
      </c>
      <c r="J702" s="6">
        <v>49</v>
      </c>
      <c r="K702" s="7">
        <v>0.89122356148005577</v>
      </c>
      <c r="L702" s="7">
        <v>0.96480593724903951</v>
      </c>
      <c r="M702" s="7">
        <v>0.96899265625617681</v>
      </c>
      <c r="N702" s="8">
        <v>27460</v>
      </c>
      <c r="O702" s="7">
        <f t="shared" si="21"/>
        <v>0.93113663296332227</v>
      </c>
    </row>
    <row r="703" spans="1:15">
      <c r="A703" s="3" t="s">
        <v>737</v>
      </c>
      <c r="B703" s="4">
        <v>45950</v>
      </c>
      <c r="C703" s="5">
        <f t="shared" si="20"/>
        <v>45931</v>
      </c>
      <c r="D703" s="3" t="s">
        <v>26</v>
      </c>
      <c r="E703" s="2" t="s">
        <v>27</v>
      </c>
      <c r="F703" s="2" t="s">
        <v>28</v>
      </c>
      <c r="G703" s="2" t="s">
        <v>29</v>
      </c>
      <c r="H703" s="3" t="s">
        <v>20</v>
      </c>
      <c r="I703" s="6">
        <v>37</v>
      </c>
      <c r="J703" s="6">
        <v>27</v>
      </c>
      <c r="K703" s="7">
        <v>0.90350973676753432</v>
      </c>
      <c r="L703" s="7">
        <v>0.96776149383978438</v>
      </c>
      <c r="M703" s="7">
        <v>0.82484560433886278</v>
      </c>
      <c r="N703" s="8">
        <v>9390</v>
      </c>
      <c r="O703" s="7">
        <f t="shared" si="21"/>
        <v>0.82790267102751569</v>
      </c>
    </row>
    <row r="704" spans="1:15">
      <c r="A704" s="3" t="s">
        <v>738</v>
      </c>
      <c r="B704" s="4">
        <v>45951</v>
      </c>
      <c r="C704" s="5">
        <f t="shared" si="20"/>
        <v>45931</v>
      </c>
      <c r="D704" s="3" t="s">
        <v>22</v>
      </c>
      <c r="E704" s="2" t="s">
        <v>23</v>
      </c>
      <c r="F704" s="2" t="s">
        <v>18</v>
      </c>
      <c r="G704" s="2" t="s">
        <v>19</v>
      </c>
      <c r="H704" s="3" t="s">
        <v>24</v>
      </c>
      <c r="I704" s="6">
        <v>50</v>
      </c>
      <c r="J704" s="6">
        <v>49</v>
      </c>
      <c r="K704" s="7">
        <v>0.89534397015837541</v>
      </c>
      <c r="L704" s="7">
        <v>0.96948547542503372</v>
      </c>
      <c r="M704" s="7">
        <v>0.94512342657745874</v>
      </c>
      <c r="N704" s="8">
        <v>29900</v>
      </c>
      <c r="O704" s="7">
        <f t="shared" si="21"/>
        <v>0.9502834991688407</v>
      </c>
    </row>
    <row r="705" spans="1:15">
      <c r="A705" s="3" t="s">
        <v>739</v>
      </c>
      <c r="B705" s="4">
        <v>45953</v>
      </c>
      <c r="C705" s="5">
        <f t="shared" si="20"/>
        <v>45931</v>
      </c>
      <c r="D705" s="3" t="s">
        <v>16</v>
      </c>
      <c r="E705" s="2" t="s">
        <v>17</v>
      </c>
      <c r="F705" s="2" t="s">
        <v>18</v>
      </c>
      <c r="G705" s="2" t="s">
        <v>19</v>
      </c>
      <c r="H705" s="3" t="s">
        <v>20</v>
      </c>
      <c r="I705" s="6">
        <v>31</v>
      </c>
      <c r="J705" s="6">
        <v>36</v>
      </c>
      <c r="K705" s="7">
        <v>0.95839623403435104</v>
      </c>
      <c r="L705" s="7">
        <v>0.97270648369118895</v>
      </c>
      <c r="M705" s="7">
        <v>0.91766193081846192</v>
      </c>
      <c r="N705" s="8">
        <v>19070</v>
      </c>
      <c r="O705" s="7">
        <f t="shared" si="21"/>
        <v>1.0335535462582166</v>
      </c>
    </row>
    <row r="706" spans="1:15">
      <c r="A706" s="3" t="s">
        <v>740</v>
      </c>
      <c r="B706" s="4">
        <v>45953</v>
      </c>
      <c r="C706" s="5">
        <f t="shared" ref="C706:C769" si="22">DATE(YEAR(B706),MONTH(B706),1)</f>
        <v>45931</v>
      </c>
      <c r="D706" s="3" t="s">
        <v>22</v>
      </c>
      <c r="E706" s="2" t="s">
        <v>23</v>
      </c>
      <c r="F706" s="2" t="s">
        <v>18</v>
      </c>
      <c r="G706" s="2" t="s">
        <v>19</v>
      </c>
      <c r="H706" s="3" t="s">
        <v>24</v>
      </c>
      <c r="I706" s="6">
        <v>55</v>
      </c>
      <c r="J706" s="6">
        <v>51</v>
      </c>
      <c r="K706" s="7">
        <v>0.92222977294005548</v>
      </c>
      <c r="L706" s="7">
        <v>0.96623388308787828</v>
      </c>
      <c r="M706" s="7">
        <v>0.995</v>
      </c>
      <c r="N706" s="8">
        <v>25950</v>
      </c>
      <c r="O706" s="7">
        <f t="shared" ref="O706:O769" si="23">MIN(J706/I706,1.2)*40%+K706*25%+L706*15%+M706*20%</f>
        <v>0.9454016166072865</v>
      </c>
    </row>
    <row r="707" spans="1:15">
      <c r="A707" s="3" t="s">
        <v>741</v>
      </c>
      <c r="B707" s="4">
        <v>45953</v>
      </c>
      <c r="C707" s="5">
        <f t="shared" si="22"/>
        <v>45931</v>
      </c>
      <c r="D707" s="3" t="s">
        <v>43</v>
      </c>
      <c r="E707" s="2" t="s">
        <v>44</v>
      </c>
      <c r="F707" s="2" t="s">
        <v>28</v>
      </c>
      <c r="G707" s="2" t="s">
        <v>29</v>
      </c>
      <c r="H707" s="3" t="s">
        <v>45</v>
      </c>
      <c r="I707" s="6">
        <v>40</v>
      </c>
      <c r="J707" s="6">
        <v>41</v>
      </c>
      <c r="K707" s="7">
        <v>0.93784651014309151</v>
      </c>
      <c r="L707" s="7">
        <v>1</v>
      </c>
      <c r="M707" s="7">
        <v>0.93806115161857562</v>
      </c>
      <c r="N707" s="8">
        <v>17350</v>
      </c>
      <c r="O707" s="7">
        <f t="shared" si="23"/>
        <v>0.98207385785948798</v>
      </c>
    </row>
    <row r="708" spans="1:15">
      <c r="A708" s="3" t="s">
        <v>742</v>
      </c>
      <c r="B708" s="4">
        <v>45953</v>
      </c>
      <c r="C708" s="5">
        <f t="shared" si="22"/>
        <v>45931</v>
      </c>
      <c r="D708" s="3" t="s">
        <v>34</v>
      </c>
      <c r="E708" s="2" t="s">
        <v>35</v>
      </c>
      <c r="F708" s="2" t="s">
        <v>36</v>
      </c>
      <c r="G708" s="2" t="s">
        <v>37</v>
      </c>
      <c r="H708" s="3" t="s">
        <v>20</v>
      </c>
      <c r="I708" s="6">
        <v>33</v>
      </c>
      <c r="J708" s="6">
        <v>35</v>
      </c>
      <c r="K708" s="7">
        <v>0.94294208965217574</v>
      </c>
      <c r="L708" s="7">
        <v>0.98189945938850542</v>
      </c>
      <c r="M708" s="7">
        <v>0.93813754540934335</v>
      </c>
      <c r="N708" s="8">
        <v>16670</v>
      </c>
      <c r="O708" s="7">
        <f t="shared" si="23"/>
        <v>0.99489037464561259</v>
      </c>
    </row>
    <row r="709" spans="1:15">
      <c r="A709" s="3" t="s">
        <v>743</v>
      </c>
      <c r="B709" s="4">
        <v>45954</v>
      </c>
      <c r="C709" s="5">
        <f t="shared" si="22"/>
        <v>45931</v>
      </c>
      <c r="D709" s="3" t="s">
        <v>22</v>
      </c>
      <c r="E709" s="2" t="s">
        <v>23</v>
      </c>
      <c r="F709" s="2" t="s">
        <v>18</v>
      </c>
      <c r="G709" s="2" t="s">
        <v>19</v>
      </c>
      <c r="H709" s="3" t="s">
        <v>24</v>
      </c>
      <c r="I709" s="6">
        <v>39</v>
      </c>
      <c r="J709" s="6">
        <v>38</v>
      </c>
      <c r="K709" s="7">
        <v>0.89197336943080496</v>
      </c>
      <c r="L709" s="7">
        <v>0.93519979947567933</v>
      </c>
      <c r="M709" s="7">
        <v>0.92174366723955192</v>
      </c>
      <c r="N709" s="8">
        <v>23560</v>
      </c>
      <c r="O709" s="7">
        <f t="shared" si="23"/>
        <v>0.93736563547055329</v>
      </c>
    </row>
    <row r="710" spans="1:15">
      <c r="A710" s="3" t="s">
        <v>744</v>
      </c>
      <c r="B710" s="4">
        <v>45954</v>
      </c>
      <c r="C710" s="5">
        <f t="shared" si="22"/>
        <v>45931</v>
      </c>
      <c r="D710" s="3" t="s">
        <v>26</v>
      </c>
      <c r="E710" s="2" t="s">
        <v>27</v>
      </c>
      <c r="F710" s="2" t="s">
        <v>28</v>
      </c>
      <c r="G710" s="2" t="s">
        <v>29</v>
      </c>
      <c r="H710" s="3" t="s">
        <v>20</v>
      </c>
      <c r="I710" s="6">
        <v>47</v>
      </c>
      <c r="J710" s="6">
        <v>41</v>
      </c>
      <c r="K710" s="7">
        <v>0.89008077677987951</v>
      </c>
      <c r="L710" s="7">
        <v>0.95508691085159836</v>
      </c>
      <c r="M710" s="7">
        <v>0.89616080714876223</v>
      </c>
      <c r="N710" s="8">
        <v>18460</v>
      </c>
      <c r="O710" s="7">
        <f t="shared" si="23"/>
        <v>0.89395156246522811</v>
      </c>
    </row>
    <row r="711" spans="1:15">
      <c r="A711" s="3" t="s">
        <v>745</v>
      </c>
      <c r="B711" s="4">
        <v>45954</v>
      </c>
      <c r="C711" s="5">
        <f t="shared" si="22"/>
        <v>45931</v>
      </c>
      <c r="D711" s="3" t="s">
        <v>43</v>
      </c>
      <c r="E711" s="2" t="s">
        <v>44</v>
      </c>
      <c r="F711" s="2" t="s">
        <v>28</v>
      </c>
      <c r="G711" s="2" t="s">
        <v>29</v>
      </c>
      <c r="H711" s="3" t="s">
        <v>45</v>
      </c>
      <c r="I711" s="6">
        <v>35</v>
      </c>
      <c r="J711" s="6">
        <v>34</v>
      </c>
      <c r="K711" s="7">
        <v>0.93561521937226466</v>
      </c>
      <c r="L711" s="7">
        <v>0.97694704344734684</v>
      </c>
      <c r="M711" s="7">
        <v>0.92292612732703261</v>
      </c>
      <c r="N711" s="8">
        <v>15390</v>
      </c>
      <c r="O711" s="7">
        <f t="shared" si="23"/>
        <v>0.95360251539700336</v>
      </c>
    </row>
    <row r="712" spans="1:15">
      <c r="A712" s="3" t="s">
        <v>746</v>
      </c>
      <c r="B712" s="4">
        <v>45954</v>
      </c>
      <c r="C712" s="5">
        <f t="shared" si="22"/>
        <v>45931</v>
      </c>
      <c r="D712" s="3" t="s">
        <v>43</v>
      </c>
      <c r="E712" s="2" t="s">
        <v>44</v>
      </c>
      <c r="F712" s="2" t="s">
        <v>28</v>
      </c>
      <c r="G712" s="2" t="s">
        <v>29</v>
      </c>
      <c r="H712" s="3" t="s">
        <v>45</v>
      </c>
      <c r="I712" s="6">
        <v>28</v>
      </c>
      <c r="J712" s="6">
        <v>30</v>
      </c>
      <c r="K712" s="7">
        <v>0.9686080046127824</v>
      </c>
      <c r="L712" s="7">
        <v>0.9815642721379928</v>
      </c>
      <c r="M712" s="7">
        <v>0.95864274176502517</v>
      </c>
      <c r="N712" s="8">
        <v>14100</v>
      </c>
      <c r="O712" s="7">
        <f t="shared" si="23"/>
        <v>1.0096866188983282</v>
      </c>
    </row>
    <row r="713" spans="1:15">
      <c r="A713" s="3" t="s">
        <v>747</v>
      </c>
      <c r="B713" s="4">
        <v>45954</v>
      </c>
      <c r="C713" s="5">
        <f t="shared" si="22"/>
        <v>45931</v>
      </c>
      <c r="D713" s="3" t="s">
        <v>39</v>
      </c>
      <c r="E713" s="2" t="s">
        <v>40</v>
      </c>
      <c r="F713" s="2" t="s">
        <v>36</v>
      </c>
      <c r="G713" s="2" t="s">
        <v>37</v>
      </c>
      <c r="H713" s="3" t="s">
        <v>24</v>
      </c>
      <c r="I713" s="6">
        <v>46</v>
      </c>
      <c r="J713" s="6">
        <v>49</v>
      </c>
      <c r="K713" s="7">
        <v>0.94830650583926712</v>
      </c>
      <c r="L713" s="7">
        <v>0.98881263755613868</v>
      </c>
      <c r="M713" s="7">
        <v>0.98105442186257685</v>
      </c>
      <c r="N713" s="8">
        <v>22400</v>
      </c>
      <c r="O713" s="7">
        <f t="shared" si="23"/>
        <v>1.0076963629874922</v>
      </c>
    </row>
    <row r="714" spans="1:15">
      <c r="A714" s="3" t="s">
        <v>748</v>
      </c>
      <c r="B714" s="4">
        <v>45957</v>
      </c>
      <c r="C714" s="5">
        <f t="shared" si="22"/>
        <v>45931</v>
      </c>
      <c r="D714" s="3" t="s">
        <v>34</v>
      </c>
      <c r="E714" s="2" t="s">
        <v>35</v>
      </c>
      <c r="F714" s="2" t="s">
        <v>36</v>
      </c>
      <c r="G714" s="2" t="s">
        <v>37</v>
      </c>
      <c r="H714" s="3" t="s">
        <v>20</v>
      </c>
      <c r="I714" s="6">
        <v>33</v>
      </c>
      <c r="J714" s="6">
        <v>27</v>
      </c>
      <c r="K714" s="7">
        <v>0.93247576913199148</v>
      </c>
      <c r="L714" s="7">
        <v>0.95608429876800749</v>
      </c>
      <c r="M714" s="7">
        <v>0.95201206010203698</v>
      </c>
      <c r="N714" s="8">
        <v>11990</v>
      </c>
      <c r="O714" s="7">
        <f t="shared" si="23"/>
        <v>0.89420672639133369</v>
      </c>
    </row>
    <row r="715" spans="1:15">
      <c r="A715" s="3" t="s">
        <v>749</v>
      </c>
      <c r="B715" s="4">
        <v>45957</v>
      </c>
      <c r="C715" s="5">
        <f t="shared" si="22"/>
        <v>45931</v>
      </c>
      <c r="D715" s="3" t="s">
        <v>34</v>
      </c>
      <c r="E715" s="2" t="s">
        <v>35</v>
      </c>
      <c r="F715" s="2" t="s">
        <v>36</v>
      </c>
      <c r="G715" s="2" t="s">
        <v>37</v>
      </c>
      <c r="H715" s="3" t="s">
        <v>20</v>
      </c>
      <c r="I715" s="6">
        <v>48</v>
      </c>
      <c r="J715" s="6">
        <v>36</v>
      </c>
      <c r="K715" s="7">
        <v>0.9167582598316546</v>
      </c>
      <c r="L715" s="7">
        <v>0.95655635258539518</v>
      </c>
      <c r="M715" s="7">
        <v>0.96337881592013097</v>
      </c>
      <c r="N715" s="8">
        <v>16650</v>
      </c>
      <c r="O715" s="7">
        <f t="shared" si="23"/>
        <v>0.86534878102974921</v>
      </c>
    </row>
    <row r="716" spans="1:15">
      <c r="A716" s="3" t="s">
        <v>750</v>
      </c>
      <c r="B716" s="4">
        <v>45958</v>
      </c>
      <c r="C716" s="5">
        <f t="shared" si="22"/>
        <v>45931</v>
      </c>
      <c r="D716" s="3" t="s">
        <v>16</v>
      </c>
      <c r="E716" s="2" t="s">
        <v>17</v>
      </c>
      <c r="F716" s="2" t="s">
        <v>18</v>
      </c>
      <c r="G716" s="2" t="s">
        <v>19</v>
      </c>
      <c r="H716" s="3" t="s">
        <v>20</v>
      </c>
      <c r="I716" s="6">
        <v>47</v>
      </c>
      <c r="J716" s="6">
        <v>51</v>
      </c>
      <c r="K716" s="7">
        <v>0.96001523952733392</v>
      </c>
      <c r="L716" s="7">
        <v>0.98139821456434839</v>
      </c>
      <c r="M716" s="7">
        <v>0.9241197323108169</v>
      </c>
      <c r="N716" s="8">
        <v>27970</v>
      </c>
      <c r="O716" s="7">
        <f t="shared" si="23"/>
        <v>1.0060800417201383</v>
      </c>
    </row>
    <row r="717" spans="1:15">
      <c r="A717" s="3" t="s">
        <v>751</v>
      </c>
      <c r="B717" s="4">
        <v>45958</v>
      </c>
      <c r="C717" s="5">
        <f t="shared" si="22"/>
        <v>45931</v>
      </c>
      <c r="D717" s="3" t="s">
        <v>34</v>
      </c>
      <c r="E717" s="2" t="s">
        <v>35</v>
      </c>
      <c r="F717" s="2" t="s">
        <v>36</v>
      </c>
      <c r="G717" s="2" t="s">
        <v>37</v>
      </c>
      <c r="H717" s="3" t="s">
        <v>20</v>
      </c>
      <c r="I717" s="6">
        <v>36</v>
      </c>
      <c r="J717" s="6">
        <v>30</v>
      </c>
      <c r="K717" s="7">
        <v>0.89605852220762039</v>
      </c>
      <c r="L717" s="7">
        <v>0.9631040228216462</v>
      </c>
      <c r="M717" s="7">
        <v>0.91016814347388453</v>
      </c>
      <c r="N717" s="8">
        <v>15000</v>
      </c>
      <c r="O717" s="7">
        <f t="shared" si="23"/>
        <v>0.88384719600326223</v>
      </c>
    </row>
    <row r="718" spans="1:15">
      <c r="A718" s="3" t="s">
        <v>752</v>
      </c>
      <c r="B718" s="4">
        <v>45960</v>
      </c>
      <c r="C718" s="5">
        <f t="shared" si="22"/>
        <v>45931</v>
      </c>
      <c r="D718" s="3" t="s">
        <v>39</v>
      </c>
      <c r="E718" s="2" t="s">
        <v>40</v>
      </c>
      <c r="F718" s="2" t="s">
        <v>36</v>
      </c>
      <c r="G718" s="2" t="s">
        <v>37</v>
      </c>
      <c r="H718" s="3" t="s">
        <v>24</v>
      </c>
      <c r="I718" s="6">
        <v>32</v>
      </c>
      <c r="J718" s="6">
        <v>31</v>
      </c>
      <c r="K718" s="7">
        <v>0.94493510774819267</v>
      </c>
      <c r="L718" s="7">
        <v>0.98289683141126771</v>
      </c>
      <c r="M718" s="7">
        <v>0.98406475385065018</v>
      </c>
      <c r="N718" s="8">
        <v>15740</v>
      </c>
      <c r="O718" s="7">
        <f t="shared" si="23"/>
        <v>0.96798125241886834</v>
      </c>
    </row>
    <row r="719" spans="1:15">
      <c r="A719" s="3" t="s">
        <v>753</v>
      </c>
      <c r="B719" s="4">
        <v>45961</v>
      </c>
      <c r="C719" s="5">
        <f t="shared" si="22"/>
        <v>45931</v>
      </c>
      <c r="D719" s="3" t="s">
        <v>16</v>
      </c>
      <c r="E719" s="2" t="s">
        <v>17</v>
      </c>
      <c r="F719" s="2" t="s">
        <v>18</v>
      </c>
      <c r="G719" s="2" t="s">
        <v>19</v>
      </c>
      <c r="H719" s="3" t="s">
        <v>20</v>
      </c>
      <c r="I719" s="6">
        <v>30</v>
      </c>
      <c r="J719" s="6">
        <v>31</v>
      </c>
      <c r="K719" s="7">
        <v>0.94232120282611265</v>
      </c>
      <c r="L719" s="7">
        <v>0.96049681855902691</v>
      </c>
      <c r="M719" s="7">
        <v>0.93209214689517805</v>
      </c>
      <c r="N719" s="8">
        <v>16550</v>
      </c>
      <c r="O719" s="7">
        <f t="shared" si="23"/>
        <v>0.97940658620275123</v>
      </c>
    </row>
    <row r="720" spans="1:15">
      <c r="A720" s="3" t="s">
        <v>754</v>
      </c>
      <c r="B720" s="4">
        <v>45961</v>
      </c>
      <c r="C720" s="5">
        <f t="shared" si="22"/>
        <v>45931</v>
      </c>
      <c r="D720" s="3" t="s">
        <v>16</v>
      </c>
      <c r="E720" s="2" t="s">
        <v>17</v>
      </c>
      <c r="F720" s="2" t="s">
        <v>18</v>
      </c>
      <c r="G720" s="2" t="s">
        <v>19</v>
      </c>
      <c r="H720" s="3" t="s">
        <v>20</v>
      </c>
      <c r="I720" s="6">
        <v>43</v>
      </c>
      <c r="J720" s="6">
        <v>50</v>
      </c>
      <c r="K720" s="7">
        <v>0.92290230041221899</v>
      </c>
      <c r="L720" s="7">
        <v>0.94482357965535191</v>
      </c>
      <c r="M720" s="7">
        <v>0.93768241434126487</v>
      </c>
      <c r="N720" s="8">
        <v>27660</v>
      </c>
      <c r="O720" s="7">
        <f t="shared" si="23"/>
        <v>1.025101873989378</v>
      </c>
    </row>
    <row r="721" spans="1:15">
      <c r="A721" s="3" t="s">
        <v>755</v>
      </c>
      <c r="B721" s="4">
        <v>45961</v>
      </c>
      <c r="C721" s="5">
        <f t="shared" si="22"/>
        <v>45931</v>
      </c>
      <c r="D721" s="3" t="s">
        <v>22</v>
      </c>
      <c r="E721" s="2" t="s">
        <v>23</v>
      </c>
      <c r="F721" s="2" t="s">
        <v>18</v>
      </c>
      <c r="G721" s="2" t="s">
        <v>19</v>
      </c>
      <c r="H721" s="3" t="s">
        <v>24</v>
      </c>
      <c r="I721" s="6">
        <v>53</v>
      </c>
      <c r="J721" s="6">
        <v>56</v>
      </c>
      <c r="K721" s="7">
        <v>0.91769795386544306</v>
      </c>
      <c r="L721" s="7">
        <v>0.96082198467966617</v>
      </c>
      <c r="M721" s="7">
        <v>0.95868024755166437</v>
      </c>
      <c r="N721" s="8">
        <v>30840</v>
      </c>
      <c r="O721" s="7">
        <f t="shared" si="23"/>
        <v>0.98792534511260577</v>
      </c>
    </row>
    <row r="722" spans="1:15">
      <c r="A722" s="3" t="s">
        <v>756</v>
      </c>
      <c r="B722" s="4">
        <v>45961</v>
      </c>
      <c r="C722" s="5">
        <f t="shared" si="22"/>
        <v>45931</v>
      </c>
      <c r="D722" s="3" t="s">
        <v>43</v>
      </c>
      <c r="E722" s="2" t="s">
        <v>44</v>
      </c>
      <c r="F722" s="2" t="s">
        <v>28</v>
      </c>
      <c r="G722" s="2" t="s">
        <v>29</v>
      </c>
      <c r="H722" s="3" t="s">
        <v>45</v>
      </c>
      <c r="I722" s="6">
        <v>43</v>
      </c>
      <c r="J722" s="6">
        <v>40</v>
      </c>
      <c r="K722" s="7">
        <v>0.94106439292172683</v>
      </c>
      <c r="L722" s="7">
        <v>0.98858520336919009</v>
      </c>
      <c r="M722" s="7">
        <v>0.94421137304671143</v>
      </c>
      <c r="N722" s="8">
        <v>17390</v>
      </c>
      <c r="O722" s="7">
        <f t="shared" si="23"/>
        <v>0.94448917660096654</v>
      </c>
    </row>
    <row r="723" spans="1:15">
      <c r="A723" s="3" t="s">
        <v>757</v>
      </c>
      <c r="B723" s="4">
        <v>45961</v>
      </c>
      <c r="C723" s="5">
        <f t="shared" si="22"/>
        <v>45931</v>
      </c>
      <c r="D723" s="3" t="s">
        <v>34</v>
      </c>
      <c r="E723" s="2" t="s">
        <v>35</v>
      </c>
      <c r="F723" s="2" t="s">
        <v>36</v>
      </c>
      <c r="G723" s="2" t="s">
        <v>37</v>
      </c>
      <c r="H723" s="3" t="s">
        <v>20</v>
      </c>
      <c r="I723" s="6">
        <v>55</v>
      </c>
      <c r="J723" s="6">
        <v>52</v>
      </c>
      <c r="K723" s="7">
        <v>0.92830787150341165</v>
      </c>
      <c r="L723" s="7">
        <v>0.94549553501654782</v>
      </c>
      <c r="M723" s="7">
        <v>0.95473028786544623</v>
      </c>
      <c r="N723" s="8">
        <v>23870</v>
      </c>
      <c r="O723" s="7">
        <f t="shared" si="23"/>
        <v>0.94302917388324259</v>
      </c>
    </row>
    <row r="724" spans="1:15">
      <c r="A724" s="3" t="s">
        <v>758</v>
      </c>
      <c r="B724" s="4">
        <v>45965</v>
      </c>
      <c r="C724" s="5">
        <f t="shared" si="22"/>
        <v>45962</v>
      </c>
      <c r="D724" s="3" t="s">
        <v>16</v>
      </c>
      <c r="E724" s="2" t="s">
        <v>17</v>
      </c>
      <c r="F724" s="2" t="s">
        <v>18</v>
      </c>
      <c r="G724" s="2" t="s">
        <v>19</v>
      </c>
      <c r="H724" s="3" t="s">
        <v>20</v>
      </c>
      <c r="I724" s="6">
        <v>33</v>
      </c>
      <c r="J724" s="6">
        <v>31</v>
      </c>
      <c r="K724" s="7">
        <v>0.93630487892349312</v>
      </c>
      <c r="L724" s="7">
        <v>1</v>
      </c>
      <c r="M724" s="7">
        <v>0.90636724048539741</v>
      </c>
      <c r="N724" s="8">
        <v>18080</v>
      </c>
      <c r="O724" s="7">
        <f t="shared" si="23"/>
        <v>0.94110724358552855</v>
      </c>
    </row>
    <row r="725" spans="1:15">
      <c r="A725" s="3" t="s">
        <v>759</v>
      </c>
      <c r="B725" s="4">
        <v>45965</v>
      </c>
      <c r="C725" s="5">
        <f t="shared" si="22"/>
        <v>45962</v>
      </c>
      <c r="D725" s="3" t="s">
        <v>26</v>
      </c>
      <c r="E725" s="2" t="s">
        <v>27</v>
      </c>
      <c r="F725" s="2" t="s">
        <v>28</v>
      </c>
      <c r="G725" s="2" t="s">
        <v>29</v>
      </c>
      <c r="H725" s="3" t="s">
        <v>20</v>
      </c>
      <c r="I725" s="6">
        <v>29</v>
      </c>
      <c r="J725" s="6">
        <v>29</v>
      </c>
      <c r="K725" s="7">
        <v>0.94746937994012737</v>
      </c>
      <c r="L725" s="7">
        <v>0.9622053238770617</v>
      </c>
      <c r="M725" s="7">
        <v>0.89180702324622252</v>
      </c>
      <c r="N725" s="8">
        <v>10540</v>
      </c>
      <c r="O725" s="7">
        <f t="shared" si="23"/>
        <v>0.95955954821583567</v>
      </c>
    </row>
    <row r="726" spans="1:15">
      <c r="A726" s="3" t="s">
        <v>760</v>
      </c>
      <c r="B726" s="4">
        <v>45966</v>
      </c>
      <c r="C726" s="5">
        <f t="shared" si="22"/>
        <v>45962</v>
      </c>
      <c r="D726" s="3" t="s">
        <v>43</v>
      </c>
      <c r="E726" s="2" t="s">
        <v>44</v>
      </c>
      <c r="F726" s="2" t="s">
        <v>28</v>
      </c>
      <c r="G726" s="2" t="s">
        <v>29</v>
      </c>
      <c r="H726" s="3" t="s">
        <v>45</v>
      </c>
      <c r="I726" s="6">
        <v>46</v>
      </c>
      <c r="J726" s="6">
        <v>48</v>
      </c>
      <c r="K726" s="7">
        <v>0.9498092642794449</v>
      </c>
      <c r="L726" s="7">
        <v>0.9578701415409141</v>
      </c>
      <c r="M726" s="7">
        <v>0.92024431335927026</v>
      </c>
      <c r="N726" s="8">
        <v>17820</v>
      </c>
      <c r="O726" s="7">
        <f t="shared" si="23"/>
        <v>0.98257300432067851</v>
      </c>
    </row>
    <row r="727" spans="1:15">
      <c r="A727" s="3" t="s">
        <v>761</v>
      </c>
      <c r="B727" s="4">
        <v>45966</v>
      </c>
      <c r="C727" s="5">
        <f t="shared" si="22"/>
        <v>45962</v>
      </c>
      <c r="D727" s="3" t="s">
        <v>43</v>
      </c>
      <c r="E727" s="2" t="s">
        <v>44</v>
      </c>
      <c r="F727" s="2" t="s">
        <v>28</v>
      </c>
      <c r="G727" s="2" t="s">
        <v>29</v>
      </c>
      <c r="H727" s="3" t="s">
        <v>45</v>
      </c>
      <c r="I727" s="6">
        <v>30</v>
      </c>
      <c r="J727" s="6">
        <v>35</v>
      </c>
      <c r="K727" s="7">
        <v>0.96946690260744273</v>
      </c>
      <c r="L727" s="7">
        <v>0.98196702341353648</v>
      </c>
      <c r="M727" s="7">
        <v>0.92613348967193077</v>
      </c>
      <c r="N727" s="8">
        <v>13260</v>
      </c>
      <c r="O727" s="7">
        <f t="shared" si="23"/>
        <v>1.0415551437649442</v>
      </c>
    </row>
    <row r="728" spans="1:15">
      <c r="A728" s="3" t="s">
        <v>762</v>
      </c>
      <c r="B728" s="4">
        <v>45966</v>
      </c>
      <c r="C728" s="5">
        <f t="shared" si="22"/>
        <v>45962</v>
      </c>
      <c r="D728" s="3" t="s">
        <v>39</v>
      </c>
      <c r="E728" s="2" t="s">
        <v>40</v>
      </c>
      <c r="F728" s="2" t="s">
        <v>36</v>
      </c>
      <c r="G728" s="2" t="s">
        <v>37</v>
      </c>
      <c r="H728" s="3" t="s">
        <v>24</v>
      </c>
      <c r="I728" s="6">
        <v>41</v>
      </c>
      <c r="J728" s="6">
        <v>42</v>
      </c>
      <c r="K728" s="7">
        <v>0.9838612268757817</v>
      </c>
      <c r="L728" s="7">
        <v>0.98393975913479248</v>
      </c>
      <c r="M728" s="7">
        <v>0.96319723853036499</v>
      </c>
      <c r="N728" s="8">
        <v>21230</v>
      </c>
      <c r="O728" s="7">
        <f t="shared" si="23"/>
        <v>0.99595181585621295</v>
      </c>
    </row>
    <row r="729" spans="1:15">
      <c r="A729" s="3" t="s">
        <v>763</v>
      </c>
      <c r="B729" s="4">
        <v>45966</v>
      </c>
      <c r="C729" s="5">
        <f t="shared" si="22"/>
        <v>45962</v>
      </c>
      <c r="D729" s="3" t="s">
        <v>39</v>
      </c>
      <c r="E729" s="2" t="s">
        <v>40</v>
      </c>
      <c r="F729" s="2" t="s">
        <v>36</v>
      </c>
      <c r="G729" s="2" t="s">
        <v>37</v>
      </c>
      <c r="H729" s="3" t="s">
        <v>24</v>
      </c>
      <c r="I729" s="6">
        <v>47</v>
      </c>
      <c r="J729" s="6">
        <v>49</v>
      </c>
      <c r="K729" s="7">
        <v>0.92996088480175021</v>
      </c>
      <c r="L729" s="7">
        <v>0.99273039680503417</v>
      </c>
      <c r="M729" s="7">
        <v>0.94094167413768048</v>
      </c>
      <c r="N729" s="8">
        <v>25690</v>
      </c>
      <c r="O729" s="7">
        <f t="shared" si="23"/>
        <v>0.98660939214447341</v>
      </c>
    </row>
    <row r="730" spans="1:15">
      <c r="A730" s="3" t="s">
        <v>764</v>
      </c>
      <c r="B730" s="4">
        <v>45967</v>
      </c>
      <c r="C730" s="5">
        <f t="shared" si="22"/>
        <v>45962</v>
      </c>
      <c r="D730" s="3" t="s">
        <v>43</v>
      </c>
      <c r="E730" s="2" t="s">
        <v>44</v>
      </c>
      <c r="F730" s="2" t="s">
        <v>28</v>
      </c>
      <c r="G730" s="2" t="s">
        <v>29</v>
      </c>
      <c r="H730" s="3" t="s">
        <v>45</v>
      </c>
      <c r="I730" s="6">
        <v>55</v>
      </c>
      <c r="J730" s="6">
        <v>61</v>
      </c>
      <c r="K730" s="7">
        <v>0.99425022748403857</v>
      </c>
      <c r="L730" s="7">
        <v>0.9922761185812714</v>
      </c>
      <c r="M730" s="7">
        <v>0.958419647281469</v>
      </c>
      <c r="N730" s="8">
        <v>25320</v>
      </c>
      <c r="O730" s="7">
        <f t="shared" si="23"/>
        <v>1.0327242677508579</v>
      </c>
    </row>
    <row r="731" spans="1:15">
      <c r="A731" s="3" t="s">
        <v>765</v>
      </c>
      <c r="B731" s="4">
        <v>45968</v>
      </c>
      <c r="C731" s="5">
        <f t="shared" si="22"/>
        <v>45962</v>
      </c>
      <c r="D731" s="3" t="s">
        <v>16</v>
      </c>
      <c r="E731" s="2" t="s">
        <v>17</v>
      </c>
      <c r="F731" s="2" t="s">
        <v>18</v>
      </c>
      <c r="G731" s="2" t="s">
        <v>19</v>
      </c>
      <c r="H731" s="3" t="s">
        <v>20</v>
      </c>
      <c r="I731" s="6">
        <v>30</v>
      </c>
      <c r="J731" s="6">
        <v>28</v>
      </c>
      <c r="K731" s="7">
        <v>0.90016453186919831</v>
      </c>
      <c r="L731" s="7">
        <v>0.96686544924867313</v>
      </c>
      <c r="M731" s="7">
        <v>0.95810278299193452</v>
      </c>
      <c r="N731" s="8">
        <v>17760</v>
      </c>
      <c r="O731" s="7">
        <f t="shared" si="23"/>
        <v>0.93502484028632094</v>
      </c>
    </row>
    <row r="732" spans="1:15">
      <c r="A732" s="3" t="s">
        <v>766</v>
      </c>
      <c r="B732" s="4">
        <v>45968</v>
      </c>
      <c r="C732" s="5">
        <f t="shared" si="22"/>
        <v>45962</v>
      </c>
      <c r="D732" s="3" t="s">
        <v>26</v>
      </c>
      <c r="E732" s="2" t="s">
        <v>27</v>
      </c>
      <c r="F732" s="2" t="s">
        <v>28</v>
      </c>
      <c r="G732" s="2" t="s">
        <v>29</v>
      </c>
      <c r="H732" s="3" t="s">
        <v>20</v>
      </c>
      <c r="I732" s="6">
        <v>39</v>
      </c>
      <c r="J732" s="6">
        <v>40</v>
      </c>
      <c r="K732" s="7">
        <v>0.91863186651403272</v>
      </c>
      <c r="L732" s="7">
        <v>0.96873025400969248</v>
      </c>
      <c r="M732" s="7">
        <v>0.8922381816822712</v>
      </c>
      <c r="N732" s="8">
        <v>15950</v>
      </c>
      <c r="O732" s="7">
        <f t="shared" si="23"/>
        <v>0.96367155132282656</v>
      </c>
    </row>
    <row r="733" spans="1:15">
      <c r="A733" s="3" t="s">
        <v>767</v>
      </c>
      <c r="B733" s="4">
        <v>45968</v>
      </c>
      <c r="C733" s="5">
        <f t="shared" si="22"/>
        <v>45962</v>
      </c>
      <c r="D733" s="3" t="s">
        <v>26</v>
      </c>
      <c r="E733" s="2" t="s">
        <v>27</v>
      </c>
      <c r="F733" s="2" t="s">
        <v>28</v>
      </c>
      <c r="G733" s="2" t="s">
        <v>29</v>
      </c>
      <c r="H733" s="3" t="s">
        <v>20</v>
      </c>
      <c r="I733" s="6">
        <v>49</v>
      </c>
      <c r="J733" s="6">
        <v>53</v>
      </c>
      <c r="K733" s="7">
        <v>0.93064153888519041</v>
      </c>
      <c r="L733" s="7">
        <v>0.93143160709116424</v>
      </c>
      <c r="M733" s="7">
        <v>0.87598686506058243</v>
      </c>
      <c r="N733" s="8">
        <v>21750</v>
      </c>
      <c r="O733" s="7">
        <f t="shared" si="23"/>
        <v>0.98022556002157857</v>
      </c>
    </row>
    <row r="734" spans="1:15">
      <c r="A734" s="3" t="s">
        <v>768</v>
      </c>
      <c r="B734" s="4">
        <v>45968</v>
      </c>
      <c r="C734" s="5">
        <f t="shared" si="22"/>
        <v>45962</v>
      </c>
      <c r="D734" s="3" t="s">
        <v>34</v>
      </c>
      <c r="E734" s="2" t="s">
        <v>35</v>
      </c>
      <c r="F734" s="2" t="s">
        <v>36</v>
      </c>
      <c r="G734" s="2" t="s">
        <v>37</v>
      </c>
      <c r="H734" s="3" t="s">
        <v>20</v>
      </c>
      <c r="I734" s="6">
        <v>34</v>
      </c>
      <c r="J734" s="6">
        <v>30</v>
      </c>
      <c r="K734" s="7">
        <v>0.90726987172712081</v>
      </c>
      <c r="L734" s="7">
        <v>0.99136171312117716</v>
      </c>
      <c r="M734" s="7">
        <v>0.94635094415163912</v>
      </c>
      <c r="N734" s="8">
        <v>12880</v>
      </c>
      <c r="O734" s="7">
        <f t="shared" si="23"/>
        <v>0.9177330902008729</v>
      </c>
    </row>
    <row r="735" spans="1:15">
      <c r="A735" s="3" t="s">
        <v>769</v>
      </c>
      <c r="B735" s="4">
        <v>45968</v>
      </c>
      <c r="C735" s="5">
        <f t="shared" si="22"/>
        <v>45962</v>
      </c>
      <c r="D735" s="3" t="s">
        <v>39</v>
      </c>
      <c r="E735" s="2" t="s">
        <v>40</v>
      </c>
      <c r="F735" s="2" t="s">
        <v>36</v>
      </c>
      <c r="G735" s="2" t="s">
        <v>37</v>
      </c>
      <c r="H735" s="3" t="s">
        <v>24</v>
      </c>
      <c r="I735" s="6">
        <v>38</v>
      </c>
      <c r="J735" s="6">
        <v>38</v>
      </c>
      <c r="K735" s="7">
        <v>0.92723484887247498</v>
      </c>
      <c r="L735" s="7">
        <v>0.94514249373229919</v>
      </c>
      <c r="M735" s="7">
        <v>0.89264502779831689</v>
      </c>
      <c r="N735" s="8">
        <v>17160</v>
      </c>
      <c r="O735" s="7">
        <f t="shared" si="23"/>
        <v>0.95210909183762693</v>
      </c>
    </row>
    <row r="736" spans="1:15">
      <c r="A736" s="3" t="s">
        <v>770</v>
      </c>
      <c r="B736" s="4">
        <v>45971</v>
      </c>
      <c r="C736" s="5">
        <f t="shared" si="22"/>
        <v>45962</v>
      </c>
      <c r="D736" s="3" t="s">
        <v>26</v>
      </c>
      <c r="E736" s="2" t="s">
        <v>27</v>
      </c>
      <c r="F736" s="2" t="s">
        <v>28</v>
      </c>
      <c r="G736" s="2" t="s">
        <v>29</v>
      </c>
      <c r="H736" s="3" t="s">
        <v>20</v>
      </c>
      <c r="I736" s="6">
        <v>49</v>
      </c>
      <c r="J736" s="6">
        <v>44</v>
      </c>
      <c r="K736" s="7">
        <v>0.8924812849797833</v>
      </c>
      <c r="L736" s="7">
        <v>0.96754814903822839</v>
      </c>
      <c r="M736" s="7">
        <v>0.83947341238479589</v>
      </c>
      <c r="N736" s="8">
        <v>18070</v>
      </c>
      <c r="O736" s="7">
        <f t="shared" si="23"/>
        <v>0.89533089954702705</v>
      </c>
    </row>
    <row r="737" spans="1:15">
      <c r="A737" s="3" t="s">
        <v>771</v>
      </c>
      <c r="B737" s="4">
        <v>45971</v>
      </c>
      <c r="C737" s="5">
        <f t="shared" si="22"/>
        <v>45962</v>
      </c>
      <c r="D737" s="3" t="s">
        <v>26</v>
      </c>
      <c r="E737" s="2" t="s">
        <v>27</v>
      </c>
      <c r="F737" s="2" t="s">
        <v>28</v>
      </c>
      <c r="G737" s="2" t="s">
        <v>29</v>
      </c>
      <c r="H737" s="3" t="s">
        <v>20</v>
      </c>
      <c r="I737" s="6">
        <v>43</v>
      </c>
      <c r="J737" s="6">
        <v>36</v>
      </c>
      <c r="K737" s="7">
        <v>0.87561957695061166</v>
      </c>
      <c r="L737" s="7">
        <v>0.94488878401464638</v>
      </c>
      <c r="M737" s="7">
        <v>0.88795562733826594</v>
      </c>
      <c r="N737" s="8">
        <v>14260</v>
      </c>
      <c r="O737" s="7">
        <f t="shared" si="23"/>
        <v>0.87311305823773566</v>
      </c>
    </row>
    <row r="738" spans="1:15">
      <c r="A738" s="3" t="s">
        <v>772</v>
      </c>
      <c r="B738" s="4">
        <v>45972</v>
      </c>
      <c r="C738" s="5">
        <f t="shared" si="22"/>
        <v>45962</v>
      </c>
      <c r="D738" s="3" t="s">
        <v>39</v>
      </c>
      <c r="E738" s="2" t="s">
        <v>40</v>
      </c>
      <c r="F738" s="2" t="s">
        <v>36</v>
      </c>
      <c r="G738" s="2" t="s">
        <v>37</v>
      </c>
      <c r="H738" s="3" t="s">
        <v>24</v>
      </c>
      <c r="I738" s="6">
        <v>48</v>
      </c>
      <c r="J738" s="6">
        <v>53</v>
      </c>
      <c r="K738" s="7">
        <v>0.98515686636938427</v>
      </c>
      <c r="L738" s="7">
        <v>0.97046184498860277</v>
      </c>
      <c r="M738" s="7">
        <v>0.995</v>
      </c>
      <c r="N738" s="8">
        <v>23920</v>
      </c>
      <c r="O738" s="7">
        <f t="shared" si="23"/>
        <v>1.0325251600073033</v>
      </c>
    </row>
    <row r="739" spans="1:15">
      <c r="A739" s="3" t="s">
        <v>773</v>
      </c>
      <c r="B739" s="4">
        <v>45974</v>
      </c>
      <c r="C739" s="5">
        <f t="shared" si="22"/>
        <v>45962</v>
      </c>
      <c r="D739" s="3" t="s">
        <v>16</v>
      </c>
      <c r="E739" s="2" t="s">
        <v>17</v>
      </c>
      <c r="F739" s="2" t="s">
        <v>18</v>
      </c>
      <c r="G739" s="2" t="s">
        <v>19</v>
      </c>
      <c r="H739" s="3" t="s">
        <v>20</v>
      </c>
      <c r="I739" s="6">
        <v>51</v>
      </c>
      <c r="J739" s="6">
        <v>52</v>
      </c>
      <c r="K739" s="7">
        <v>0.93048793235779148</v>
      </c>
      <c r="L739" s="7">
        <v>0.97974840634205174</v>
      </c>
      <c r="M739" s="7">
        <v>0.93116607647881855</v>
      </c>
      <c r="N739" s="8">
        <v>26010</v>
      </c>
      <c r="O739" s="7">
        <f t="shared" si="23"/>
        <v>0.97366059659142135</v>
      </c>
    </row>
    <row r="740" spans="1:15">
      <c r="A740" s="3" t="s">
        <v>774</v>
      </c>
      <c r="B740" s="4">
        <v>45975</v>
      </c>
      <c r="C740" s="5">
        <f t="shared" si="22"/>
        <v>45962</v>
      </c>
      <c r="D740" s="3" t="s">
        <v>22</v>
      </c>
      <c r="E740" s="2" t="s">
        <v>23</v>
      </c>
      <c r="F740" s="2" t="s">
        <v>18</v>
      </c>
      <c r="G740" s="2" t="s">
        <v>19</v>
      </c>
      <c r="H740" s="3" t="s">
        <v>24</v>
      </c>
      <c r="I740" s="6">
        <v>44</v>
      </c>
      <c r="J740" s="6">
        <v>43</v>
      </c>
      <c r="K740" s="7">
        <v>0.94149969835393044</v>
      </c>
      <c r="L740" s="7">
        <v>0.97302803189282583</v>
      </c>
      <c r="M740" s="7">
        <v>0.96423529972169686</v>
      </c>
      <c r="N740" s="8">
        <v>23700</v>
      </c>
      <c r="O740" s="7">
        <f t="shared" si="23"/>
        <v>0.96508528022583673</v>
      </c>
    </row>
    <row r="741" spans="1:15">
      <c r="A741" s="3" t="s">
        <v>775</v>
      </c>
      <c r="B741" s="4">
        <v>45975</v>
      </c>
      <c r="C741" s="5">
        <f t="shared" si="22"/>
        <v>45962</v>
      </c>
      <c r="D741" s="3" t="s">
        <v>26</v>
      </c>
      <c r="E741" s="2" t="s">
        <v>27</v>
      </c>
      <c r="F741" s="2" t="s">
        <v>28</v>
      </c>
      <c r="G741" s="2" t="s">
        <v>29</v>
      </c>
      <c r="H741" s="3" t="s">
        <v>20</v>
      </c>
      <c r="I741" s="6">
        <v>53</v>
      </c>
      <c r="J741" s="6">
        <v>47</v>
      </c>
      <c r="K741" s="7">
        <v>0.92346133159879196</v>
      </c>
      <c r="L741" s="7">
        <v>0.94903675095496276</v>
      </c>
      <c r="M741" s="7">
        <v>0.86112997702202954</v>
      </c>
      <c r="N741" s="8">
        <v>18600</v>
      </c>
      <c r="O741" s="7">
        <f t="shared" si="23"/>
        <v>0.90016382207942391</v>
      </c>
    </row>
    <row r="742" spans="1:15">
      <c r="A742" s="3" t="s">
        <v>776</v>
      </c>
      <c r="B742" s="4">
        <v>45975</v>
      </c>
      <c r="C742" s="5">
        <f t="shared" si="22"/>
        <v>45962</v>
      </c>
      <c r="D742" s="3" t="s">
        <v>43</v>
      </c>
      <c r="E742" s="2" t="s">
        <v>44</v>
      </c>
      <c r="F742" s="2" t="s">
        <v>28</v>
      </c>
      <c r="G742" s="2" t="s">
        <v>29</v>
      </c>
      <c r="H742" s="3" t="s">
        <v>45</v>
      </c>
      <c r="I742" s="6">
        <v>46</v>
      </c>
      <c r="J742" s="6">
        <v>48</v>
      </c>
      <c r="K742" s="7">
        <v>0.93559811438205198</v>
      </c>
      <c r="L742" s="7">
        <v>0.9850083150808373</v>
      </c>
      <c r="M742" s="7">
        <v>0.9158935986040152</v>
      </c>
      <c r="N742" s="8">
        <v>19770</v>
      </c>
      <c r="O742" s="7">
        <f t="shared" si="23"/>
        <v>0.98222079992626776</v>
      </c>
    </row>
    <row r="743" spans="1:15">
      <c r="A743" s="3" t="s">
        <v>777</v>
      </c>
      <c r="B743" s="4">
        <v>45975</v>
      </c>
      <c r="C743" s="5">
        <f t="shared" si="22"/>
        <v>45962</v>
      </c>
      <c r="D743" s="3" t="s">
        <v>39</v>
      </c>
      <c r="E743" s="2" t="s">
        <v>40</v>
      </c>
      <c r="F743" s="2" t="s">
        <v>36</v>
      </c>
      <c r="G743" s="2" t="s">
        <v>37</v>
      </c>
      <c r="H743" s="3" t="s">
        <v>24</v>
      </c>
      <c r="I743" s="6">
        <v>34</v>
      </c>
      <c r="J743" s="6">
        <v>32</v>
      </c>
      <c r="K743" s="7">
        <v>0.95854571242600628</v>
      </c>
      <c r="L743" s="7">
        <v>0.94929802672397523</v>
      </c>
      <c r="M743" s="7">
        <v>0.995</v>
      </c>
      <c r="N743" s="8">
        <v>17070</v>
      </c>
      <c r="O743" s="7">
        <f t="shared" si="23"/>
        <v>0.95750172035039194</v>
      </c>
    </row>
    <row r="744" spans="1:15">
      <c r="A744" s="3" t="s">
        <v>778</v>
      </c>
      <c r="B744" s="4">
        <v>45978</v>
      </c>
      <c r="C744" s="5">
        <f t="shared" si="22"/>
        <v>45962</v>
      </c>
      <c r="D744" s="3" t="s">
        <v>22</v>
      </c>
      <c r="E744" s="2" t="s">
        <v>23</v>
      </c>
      <c r="F744" s="2" t="s">
        <v>18</v>
      </c>
      <c r="G744" s="2" t="s">
        <v>19</v>
      </c>
      <c r="H744" s="3" t="s">
        <v>24</v>
      </c>
      <c r="I744" s="6">
        <v>32</v>
      </c>
      <c r="J744" s="6">
        <v>32</v>
      </c>
      <c r="K744" s="7">
        <v>0.93073237579691803</v>
      </c>
      <c r="L744" s="7">
        <v>0.98863476069337597</v>
      </c>
      <c r="M744" s="7">
        <v>0.9542529801568147</v>
      </c>
      <c r="N744" s="8">
        <v>17680</v>
      </c>
      <c r="O744" s="7">
        <f t="shared" si="23"/>
        <v>0.97182890408459888</v>
      </c>
    </row>
    <row r="745" spans="1:15">
      <c r="A745" s="3" t="s">
        <v>779</v>
      </c>
      <c r="B745" s="4">
        <v>45982</v>
      </c>
      <c r="C745" s="5">
        <f t="shared" si="22"/>
        <v>45962</v>
      </c>
      <c r="D745" s="3" t="s">
        <v>16</v>
      </c>
      <c r="E745" s="2" t="s">
        <v>17</v>
      </c>
      <c r="F745" s="2" t="s">
        <v>18</v>
      </c>
      <c r="G745" s="2" t="s">
        <v>19</v>
      </c>
      <c r="H745" s="3" t="s">
        <v>20</v>
      </c>
      <c r="I745" s="6">
        <v>51</v>
      </c>
      <c r="J745" s="6">
        <v>51</v>
      </c>
      <c r="K745" s="7">
        <v>0.92116856639155331</v>
      </c>
      <c r="L745" s="7">
        <v>0.98300506191903247</v>
      </c>
      <c r="M745" s="7">
        <v>0.90158230230369341</v>
      </c>
      <c r="N745" s="8">
        <v>26100</v>
      </c>
      <c r="O745" s="7">
        <f t="shared" si="23"/>
        <v>0.95805936134648195</v>
      </c>
    </row>
    <row r="746" spans="1:15">
      <c r="A746" s="3" t="s">
        <v>780</v>
      </c>
      <c r="B746" s="4">
        <v>45988</v>
      </c>
      <c r="C746" s="5">
        <f t="shared" si="22"/>
        <v>45962</v>
      </c>
      <c r="D746" s="3" t="s">
        <v>22</v>
      </c>
      <c r="E746" s="2" t="s">
        <v>23</v>
      </c>
      <c r="F746" s="2" t="s">
        <v>18</v>
      </c>
      <c r="G746" s="2" t="s">
        <v>19</v>
      </c>
      <c r="H746" s="3" t="s">
        <v>24</v>
      </c>
      <c r="I746" s="6">
        <v>42</v>
      </c>
      <c r="J746" s="6">
        <v>46</v>
      </c>
      <c r="K746" s="7">
        <v>0.92582523836873121</v>
      </c>
      <c r="L746" s="7">
        <v>0.98194269172239712</v>
      </c>
      <c r="M746" s="7">
        <v>0.87662341332909399</v>
      </c>
      <c r="N746" s="8">
        <v>24970</v>
      </c>
      <c r="O746" s="7">
        <f t="shared" si="23"/>
        <v>0.99216763411159936</v>
      </c>
    </row>
    <row r="747" spans="1:15">
      <c r="A747" s="3" t="s">
        <v>781</v>
      </c>
      <c r="B747" s="4">
        <v>45989</v>
      </c>
      <c r="C747" s="5">
        <f t="shared" si="22"/>
        <v>45962</v>
      </c>
      <c r="D747" s="3" t="s">
        <v>22</v>
      </c>
      <c r="E747" s="2" t="s">
        <v>23</v>
      </c>
      <c r="F747" s="2" t="s">
        <v>18</v>
      </c>
      <c r="G747" s="2" t="s">
        <v>19</v>
      </c>
      <c r="H747" s="3" t="s">
        <v>24</v>
      </c>
      <c r="I747" s="6">
        <v>37</v>
      </c>
      <c r="J747" s="6">
        <v>38</v>
      </c>
      <c r="K747" s="7">
        <v>0.91784963883084791</v>
      </c>
      <c r="L747" s="7">
        <v>0.95594526733632801</v>
      </c>
      <c r="M747" s="7">
        <v>0.90579842641147845</v>
      </c>
      <c r="N747" s="8">
        <v>21320</v>
      </c>
      <c r="O747" s="7">
        <f t="shared" si="23"/>
        <v>0.96482469590126785</v>
      </c>
    </row>
    <row r="748" spans="1:15">
      <c r="A748" s="3" t="s">
        <v>782</v>
      </c>
      <c r="B748" s="4">
        <v>45989</v>
      </c>
      <c r="C748" s="5">
        <f t="shared" si="22"/>
        <v>45962</v>
      </c>
      <c r="D748" s="3" t="s">
        <v>22</v>
      </c>
      <c r="E748" s="2" t="s">
        <v>23</v>
      </c>
      <c r="F748" s="2" t="s">
        <v>18</v>
      </c>
      <c r="G748" s="2" t="s">
        <v>19</v>
      </c>
      <c r="H748" s="3" t="s">
        <v>24</v>
      </c>
      <c r="I748" s="6">
        <v>38</v>
      </c>
      <c r="J748" s="6">
        <v>35</v>
      </c>
      <c r="K748" s="7">
        <v>0.96589127716590462</v>
      </c>
      <c r="L748" s="7">
        <v>0.94273714249104967</v>
      </c>
      <c r="M748" s="7">
        <v>0.89536536849942761</v>
      </c>
      <c r="N748" s="8">
        <v>21750</v>
      </c>
      <c r="O748" s="7">
        <f t="shared" si="23"/>
        <v>0.9303775169965981</v>
      </c>
    </row>
    <row r="749" spans="1:15">
      <c r="A749" s="3" t="s">
        <v>783</v>
      </c>
      <c r="B749" s="4">
        <v>45989</v>
      </c>
      <c r="C749" s="5">
        <f t="shared" si="22"/>
        <v>45962</v>
      </c>
      <c r="D749" s="3" t="s">
        <v>26</v>
      </c>
      <c r="E749" s="2" t="s">
        <v>27</v>
      </c>
      <c r="F749" s="2" t="s">
        <v>28</v>
      </c>
      <c r="G749" s="2" t="s">
        <v>29</v>
      </c>
      <c r="H749" s="3" t="s">
        <v>20</v>
      </c>
      <c r="I749" s="6">
        <v>52</v>
      </c>
      <c r="J749" s="6">
        <v>55</v>
      </c>
      <c r="K749" s="7">
        <v>0.95269688340836323</v>
      </c>
      <c r="L749" s="7">
        <v>0.9604528741209799</v>
      </c>
      <c r="M749" s="7">
        <v>0.88780976975959724</v>
      </c>
      <c r="N749" s="8">
        <v>22980</v>
      </c>
      <c r="O749" s="7">
        <f t="shared" si="23"/>
        <v>0.98288102899908036</v>
      </c>
    </row>
    <row r="750" spans="1:15">
      <c r="A750" s="3" t="s">
        <v>784</v>
      </c>
      <c r="B750" s="4">
        <v>45989</v>
      </c>
      <c r="C750" s="5">
        <f t="shared" si="22"/>
        <v>45962</v>
      </c>
      <c r="D750" s="3" t="s">
        <v>26</v>
      </c>
      <c r="E750" s="2" t="s">
        <v>27</v>
      </c>
      <c r="F750" s="2" t="s">
        <v>28</v>
      </c>
      <c r="G750" s="2" t="s">
        <v>29</v>
      </c>
      <c r="H750" s="3" t="s">
        <v>20</v>
      </c>
      <c r="I750" s="6">
        <v>49</v>
      </c>
      <c r="J750" s="6">
        <v>47</v>
      </c>
      <c r="K750" s="7">
        <v>0.89411119783290682</v>
      </c>
      <c r="L750" s="7">
        <v>0.95577868583808845</v>
      </c>
      <c r="M750" s="7">
        <v>0.87956048388480823</v>
      </c>
      <c r="N750" s="8">
        <v>21200</v>
      </c>
      <c r="O750" s="7">
        <f t="shared" si="23"/>
        <v>0.92648016849865666</v>
      </c>
    </row>
    <row r="751" spans="1:15">
      <c r="A751" s="3" t="s">
        <v>785</v>
      </c>
      <c r="B751" s="4">
        <v>45989</v>
      </c>
      <c r="C751" s="5">
        <f t="shared" si="22"/>
        <v>45962</v>
      </c>
      <c r="D751" s="3" t="s">
        <v>34</v>
      </c>
      <c r="E751" s="2" t="s">
        <v>35</v>
      </c>
      <c r="F751" s="2" t="s">
        <v>36</v>
      </c>
      <c r="G751" s="2" t="s">
        <v>37</v>
      </c>
      <c r="H751" s="3" t="s">
        <v>20</v>
      </c>
      <c r="I751" s="6">
        <v>46</v>
      </c>
      <c r="J751" s="6">
        <v>38</v>
      </c>
      <c r="K751" s="7">
        <v>0.87617397758752424</v>
      </c>
      <c r="L751" s="7">
        <v>0.93873938247460553</v>
      </c>
      <c r="M751" s="7">
        <v>0.995</v>
      </c>
      <c r="N751" s="8">
        <v>16590</v>
      </c>
      <c r="O751" s="7">
        <f t="shared" si="23"/>
        <v>0.88928918437676763</v>
      </c>
    </row>
    <row r="752" spans="1:15">
      <c r="A752" s="3" t="s">
        <v>786</v>
      </c>
      <c r="B752" s="4">
        <v>45989</v>
      </c>
      <c r="C752" s="5">
        <f t="shared" si="22"/>
        <v>45962</v>
      </c>
      <c r="D752" s="3" t="s">
        <v>34</v>
      </c>
      <c r="E752" s="2" t="s">
        <v>35</v>
      </c>
      <c r="F752" s="2" t="s">
        <v>36</v>
      </c>
      <c r="G752" s="2" t="s">
        <v>37</v>
      </c>
      <c r="H752" s="3" t="s">
        <v>20</v>
      </c>
      <c r="I752" s="6">
        <v>50</v>
      </c>
      <c r="J752" s="6">
        <v>45</v>
      </c>
      <c r="K752" s="7">
        <v>0.94811236846816149</v>
      </c>
      <c r="L752" s="7">
        <v>0.97997226820415917</v>
      </c>
      <c r="M752" s="7">
        <v>0.91149566305607133</v>
      </c>
      <c r="N752" s="8">
        <v>18340</v>
      </c>
      <c r="O752" s="7">
        <f t="shared" si="23"/>
        <v>0.92632306495887851</v>
      </c>
    </row>
    <row r="753" spans="1:15">
      <c r="A753" s="3" t="s">
        <v>787</v>
      </c>
      <c r="B753" s="4">
        <v>45992</v>
      </c>
      <c r="C753" s="5">
        <f t="shared" si="22"/>
        <v>45992</v>
      </c>
      <c r="D753" s="3" t="s">
        <v>22</v>
      </c>
      <c r="E753" s="2" t="s">
        <v>23</v>
      </c>
      <c r="F753" s="2" t="s">
        <v>18</v>
      </c>
      <c r="G753" s="2" t="s">
        <v>19</v>
      </c>
      <c r="H753" s="3" t="s">
        <v>24</v>
      </c>
      <c r="I753" s="6">
        <v>47</v>
      </c>
      <c r="J753" s="6">
        <v>49</v>
      </c>
      <c r="K753" s="7">
        <v>0.88169180377154532</v>
      </c>
      <c r="L753" s="7">
        <v>0.95522801533951984</v>
      </c>
      <c r="M753" s="7">
        <v>0.94685254392480167</v>
      </c>
      <c r="N753" s="8">
        <v>27250</v>
      </c>
      <c r="O753" s="7">
        <f t="shared" si="23"/>
        <v>0.97009893862451935</v>
      </c>
    </row>
    <row r="754" spans="1:15">
      <c r="A754" s="3" t="s">
        <v>788</v>
      </c>
      <c r="B754" s="4">
        <v>45992</v>
      </c>
      <c r="C754" s="5">
        <f t="shared" si="22"/>
        <v>45992</v>
      </c>
      <c r="D754" s="3" t="s">
        <v>22</v>
      </c>
      <c r="E754" s="2" t="s">
        <v>23</v>
      </c>
      <c r="F754" s="2" t="s">
        <v>18</v>
      </c>
      <c r="G754" s="2" t="s">
        <v>19</v>
      </c>
      <c r="H754" s="3" t="s">
        <v>24</v>
      </c>
      <c r="I754" s="6">
        <v>41</v>
      </c>
      <c r="J754" s="6">
        <v>42</v>
      </c>
      <c r="K754" s="7">
        <v>0.89336382220530752</v>
      </c>
      <c r="L754" s="7">
        <v>0.97707044189545378</v>
      </c>
      <c r="M754" s="7">
        <v>0.995</v>
      </c>
      <c r="N754" s="8">
        <v>23800</v>
      </c>
      <c r="O754" s="7">
        <f t="shared" si="23"/>
        <v>0.97865761939662077</v>
      </c>
    </row>
    <row r="755" spans="1:15">
      <c r="A755" s="3" t="s">
        <v>789</v>
      </c>
      <c r="B755" s="4">
        <v>45993</v>
      </c>
      <c r="C755" s="5">
        <f t="shared" si="22"/>
        <v>45992</v>
      </c>
      <c r="D755" s="3" t="s">
        <v>26</v>
      </c>
      <c r="E755" s="2" t="s">
        <v>27</v>
      </c>
      <c r="F755" s="2" t="s">
        <v>28</v>
      </c>
      <c r="G755" s="2" t="s">
        <v>29</v>
      </c>
      <c r="H755" s="3" t="s">
        <v>20</v>
      </c>
      <c r="I755" s="6">
        <v>40</v>
      </c>
      <c r="J755" s="6">
        <v>39</v>
      </c>
      <c r="K755" s="7">
        <v>0.92091210874275076</v>
      </c>
      <c r="L755" s="7">
        <v>0.94883330158164547</v>
      </c>
      <c r="M755" s="7">
        <v>0.90506431464288906</v>
      </c>
      <c r="N755" s="8">
        <v>14220</v>
      </c>
      <c r="O755" s="7">
        <f t="shared" si="23"/>
        <v>0.94356588535151231</v>
      </c>
    </row>
    <row r="756" spans="1:15">
      <c r="A756" s="3" t="s">
        <v>790</v>
      </c>
      <c r="B756" s="4">
        <v>45996</v>
      </c>
      <c r="C756" s="5">
        <f t="shared" si="22"/>
        <v>45992</v>
      </c>
      <c r="D756" s="3" t="s">
        <v>22</v>
      </c>
      <c r="E756" s="2" t="s">
        <v>23</v>
      </c>
      <c r="F756" s="2" t="s">
        <v>18</v>
      </c>
      <c r="G756" s="2" t="s">
        <v>19</v>
      </c>
      <c r="H756" s="3" t="s">
        <v>24</v>
      </c>
      <c r="I756" s="6">
        <v>33</v>
      </c>
      <c r="J756" s="6">
        <v>32</v>
      </c>
      <c r="K756" s="7">
        <v>0.92697930341206214</v>
      </c>
      <c r="L756" s="7">
        <v>0.96674322897769305</v>
      </c>
      <c r="M756" s="7">
        <v>0.95053919939550224</v>
      </c>
      <c r="N756" s="8">
        <v>17320</v>
      </c>
      <c r="O756" s="7">
        <f t="shared" si="23"/>
        <v>0.95474293795755782</v>
      </c>
    </row>
    <row r="757" spans="1:15">
      <c r="A757" s="3" t="s">
        <v>791</v>
      </c>
      <c r="B757" s="4">
        <v>45996</v>
      </c>
      <c r="C757" s="5">
        <f t="shared" si="22"/>
        <v>45992</v>
      </c>
      <c r="D757" s="3" t="s">
        <v>43</v>
      </c>
      <c r="E757" s="2" t="s">
        <v>44</v>
      </c>
      <c r="F757" s="2" t="s">
        <v>28</v>
      </c>
      <c r="G757" s="2" t="s">
        <v>29</v>
      </c>
      <c r="H757" s="3" t="s">
        <v>45</v>
      </c>
      <c r="I757" s="6">
        <v>31</v>
      </c>
      <c r="J757" s="6">
        <v>28</v>
      </c>
      <c r="K757" s="7">
        <v>0.90814620889793851</v>
      </c>
      <c r="L757" s="7">
        <v>0.9714390555305471</v>
      </c>
      <c r="M757" s="7">
        <v>0.93410471443045118</v>
      </c>
      <c r="N757" s="8">
        <v>13190</v>
      </c>
      <c r="O757" s="7">
        <f t="shared" si="23"/>
        <v>0.92086367602080221</v>
      </c>
    </row>
    <row r="758" spans="1:15">
      <c r="A758" s="3" t="s">
        <v>792</v>
      </c>
      <c r="B758" s="4">
        <v>45996</v>
      </c>
      <c r="C758" s="5">
        <f t="shared" si="22"/>
        <v>45992</v>
      </c>
      <c r="D758" s="3" t="s">
        <v>43</v>
      </c>
      <c r="E758" s="2" t="s">
        <v>44</v>
      </c>
      <c r="F758" s="2" t="s">
        <v>28</v>
      </c>
      <c r="G758" s="2" t="s">
        <v>29</v>
      </c>
      <c r="H758" s="3" t="s">
        <v>45</v>
      </c>
      <c r="I758" s="6">
        <v>44</v>
      </c>
      <c r="J758" s="6">
        <v>48</v>
      </c>
      <c r="K758" s="7">
        <v>0.93774270588256237</v>
      </c>
      <c r="L758" s="7">
        <v>0.9752392819312089</v>
      </c>
      <c r="M758" s="7">
        <v>0.91066102678807759</v>
      </c>
      <c r="N758" s="8">
        <v>20230</v>
      </c>
      <c r="O758" s="7">
        <f t="shared" si="23"/>
        <v>0.99921741048157386</v>
      </c>
    </row>
    <row r="759" spans="1:15">
      <c r="A759" s="3" t="s">
        <v>793</v>
      </c>
      <c r="B759" s="4">
        <v>45996</v>
      </c>
      <c r="C759" s="5">
        <f t="shared" si="22"/>
        <v>45992</v>
      </c>
      <c r="D759" s="3" t="s">
        <v>34</v>
      </c>
      <c r="E759" s="2" t="s">
        <v>35</v>
      </c>
      <c r="F759" s="2" t="s">
        <v>36</v>
      </c>
      <c r="G759" s="2" t="s">
        <v>37</v>
      </c>
      <c r="H759" s="3" t="s">
        <v>20</v>
      </c>
      <c r="I759" s="6">
        <v>28</v>
      </c>
      <c r="J759" s="6">
        <v>30</v>
      </c>
      <c r="K759" s="7">
        <v>0.90263558662460852</v>
      </c>
      <c r="L759" s="7">
        <v>0.98350075069288179</v>
      </c>
      <c r="M759" s="7">
        <v>0.90910460625862</v>
      </c>
      <c r="N759" s="8">
        <v>12780</v>
      </c>
      <c r="O759" s="7">
        <f t="shared" si="23"/>
        <v>0.98357635908323704</v>
      </c>
    </row>
    <row r="760" spans="1:15">
      <c r="A760" s="3" t="s">
        <v>794</v>
      </c>
      <c r="B760" s="4">
        <v>45996</v>
      </c>
      <c r="C760" s="5">
        <f t="shared" si="22"/>
        <v>45992</v>
      </c>
      <c r="D760" s="3" t="s">
        <v>39</v>
      </c>
      <c r="E760" s="2" t="s">
        <v>40</v>
      </c>
      <c r="F760" s="2" t="s">
        <v>36</v>
      </c>
      <c r="G760" s="2" t="s">
        <v>37</v>
      </c>
      <c r="H760" s="3" t="s">
        <v>24</v>
      </c>
      <c r="I760" s="6">
        <v>51</v>
      </c>
      <c r="J760" s="6">
        <v>61</v>
      </c>
      <c r="K760" s="7">
        <v>0.98318229741199625</v>
      </c>
      <c r="L760" s="7">
        <v>0.97537618932553882</v>
      </c>
      <c r="M760" s="7">
        <v>0.98008797613645648</v>
      </c>
      <c r="N760" s="8">
        <v>27510</v>
      </c>
      <c r="O760" s="7">
        <f t="shared" si="23"/>
        <v>1.0665509705281409</v>
      </c>
    </row>
    <row r="761" spans="1:15">
      <c r="A761" s="3" t="s">
        <v>795</v>
      </c>
      <c r="B761" s="4">
        <v>46000</v>
      </c>
      <c r="C761" s="5">
        <f t="shared" si="22"/>
        <v>45992</v>
      </c>
      <c r="D761" s="3" t="s">
        <v>22</v>
      </c>
      <c r="E761" s="2" t="s">
        <v>23</v>
      </c>
      <c r="F761" s="2" t="s">
        <v>18</v>
      </c>
      <c r="G761" s="2" t="s">
        <v>19</v>
      </c>
      <c r="H761" s="3" t="s">
        <v>24</v>
      </c>
      <c r="I761" s="6">
        <v>41</v>
      </c>
      <c r="J761" s="6">
        <v>35</v>
      </c>
      <c r="K761" s="7">
        <v>0.91166408107159569</v>
      </c>
      <c r="L761" s="7">
        <v>0.93570162335718565</v>
      </c>
      <c r="M761" s="7">
        <v>0.99432367987348402</v>
      </c>
      <c r="N761" s="8">
        <v>19550</v>
      </c>
      <c r="O761" s="7">
        <f t="shared" si="23"/>
        <v>0.90859941438031999</v>
      </c>
    </row>
    <row r="762" spans="1:15">
      <c r="A762" s="3" t="s">
        <v>796</v>
      </c>
      <c r="B762" s="4">
        <v>46002</v>
      </c>
      <c r="C762" s="5">
        <f t="shared" si="22"/>
        <v>45992</v>
      </c>
      <c r="D762" s="3" t="s">
        <v>34</v>
      </c>
      <c r="E762" s="2" t="s">
        <v>35</v>
      </c>
      <c r="F762" s="2" t="s">
        <v>36</v>
      </c>
      <c r="G762" s="2" t="s">
        <v>37</v>
      </c>
      <c r="H762" s="3" t="s">
        <v>20</v>
      </c>
      <c r="I762" s="6">
        <v>54</v>
      </c>
      <c r="J762" s="6">
        <v>56</v>
      </c>
      <c r="K762" s="7">
        <v>0.9541065613565648</v>
      </c>
      <c r="L762" s="7">
        <v>0.92904199455451808</v>
      </c>
      <c r="M762" s="7">
        <v>0.91624217016781206</v>
      </c>
      <c r="N762" s="8">
        <v>23620</v>
      </c>
      <c r="O762" s="7">
        <f t="shared" si="23"/>
        <v>0.97594618837069613</v>
      </c>
    </row>
    <row r="763" spans="1:15">
      <c r="A763" s="3" t="s">
        <v>797</v>
      </c>
      <c r="B763" s="4">
        <v>46003</v>
      </c>
      <c r="C763" s="5">
        <f t="shared" si="22"/>
        <v>45992</v>
      </c>
      <c r="D763" s="3" t="s">
        <v>16</v>
      </c>
      <c r="E763" s="2" t="s">
        <v>17</v>
      </c>
      <c r="F763" s="2" t="s">
        <v>18</v>
      </c>
      <c r="G763" s="2" t="s">
        <v>19</v>
      </c>
      <c r="H763" s="3" t="s">
        <v>20</v>
      </c>
      <c r="I763" s="6">
        <v>45</v>
      </c>
      <c r="J763" s="6">
        <v>43</v>
      </c>
      <c r="K763" s="7">
        <v>0.96368409096948549</v>
      </c>
      <c r="L763" s="7">
        <v>0.98052103073999053</v>
      </c>
      <c r="M763" s="7">
        <v>0.95307275798669655</v>
      </c>
      <c r="N763" s="8">
        <v>22180</v>
      </c>
      <c r="O763" s="7">
        <f t="shared" si="23"/>
        <v>0.96083595117293152</v>
      </c>
    </row>
    <row r="764" spans="1:15">
      <c r="A764" s="3" t="s">
        <v>798</v>
      </c>
      <c r="B764" s="4">
        <v>46003</v>
      </c>
      <c r="C764" s="5">
        <f t="shared" si="22"/>
        <v>45992</v>
      </c>
      <c r="D764" s="3" t="s">
        <v>43</v>
      </c>
      <c r="E764" s="2" t="s">
        <v>44</v>
      </c>
      <c r="F764" s="2" t="s">
        <v>28</v>
      </c>
      <c r="G764" s="2" t="s">
        <v>29</v>
      </c>
      <c r="H764" s="3" t="s">
        <v>45</v>
      </c>
      <c r="I764" s="6">
        <v>43</v>
      </c>
      <c r="J764" s="6">
        <v>40</v>
      </c>
      <c r="K764" s="7">
        <v>0.92002219846205424</v>
      </c>
      <c r="L764" s="7">
        <v>1</v>
      </c>
      <c r="M764" s="7">
        <v>0.93804092036794295</v>
      </c>
      <c r="N764" s="8">
        <v>16630</v>
      </c>
      <c r="O764" s="7">
        <f t="shared" si="23"/>
        <v>0.93970675694491612</v>
      </c>
    </row>
    <row r="765" spans="1:15">
      <c r="A765" s="3" t="s">
        <v>799</v>
      </c>
      <c r="B765" s="4">
        <v>46003</v>
      </c>
      <c r="C765" s="5">
        <f t="shared" si="22"/>
        <v>45992</v>
      </c>
      <c r="D765" s="3" t="s">
        <v>43</v>
      </c>
      <c r="E765" s="2" t="s">
        <v>44</v>
      </c>
      <c r="F765" s="2" t="s">
        <v>28</v>
      </c>
      <c r="G765" s="2" t="s">
        <v>29</v>
      </c>
      <c r="H765" s="3" t="s">
        <v>45</v>
      </c>
      <c r="I765" s="6">
        <v>53</v>
      </c>
      <c r="J765" s="6">
        <v>56</v>
      </c>
      <c r="K765" s="7">
        <v>0.95567893356464595</v>
      </c>
      <c r="L765" s="7">
        <v>0.98003620349617626</v>
      </c>
      <c r="M765" s="7">
        <v>0.9048258602816931</v>
      </c>
      <c r="N765" s="8">
        <v>22180</v>
      </c>
      <c r="O765" s="7">
        <f t="shared" si="23"/>
        <v>0.9895318454058889</v>
      </c>
    </row>
    <row r="766" spans="1:15">
      <c r="A766" s="3" t="s">
        <v>800</v>
      </c>
      <c r="B766" s="4">
        <v>46003</v>
      </c>
      <c r="C766" s="5">
        <f t="shared" si="22"/>
        <v>45992</v>
      </c>
      <c r="D766" s="3" t="s">
        <v>34</v>
      </c>
      <c r="E766" s="2" t="s">
        <v>35</v>
      </c>
      <c r="F766" s="2" t="s">
        <v>36</v>
      </c>
      <c r="G766" s="2" t="s">
        <v>37</v>
      </c>
      <c r="H766" s="3" t="s">
        <v>20</v>
      </c>
      <c r="I766" s="6">
        <v>39</v>
      </c>
      <c r="J766" s="6">
        <v>34</v>
      </c>
      <c r="K766" s="7">
        <v>0.94177773951139887</v>
      </c>
      <c r="L766" s="7">
        <v>0.92841990730425672</v>
      </c>
      <c r="M766" s="7">
        <v>0.91319490328996877</v>
      </c>
      <c r="N766" s="8">
        <v>17180</v>
      </c>
      <c r="O766" s="7">
        <f t="shared" si="23"/>
        <v>0.90606435034943078</v>
      </c>
    </row>
    <row r="767" spans="1:15">
      <c r="A767" s="3" t="s">
        <v>801</v>
      </c>
      <c r="B767" s="4">
        <v>46006</v>
      </c>
      <c r="C767" s="5">
        <f t="shared" si="22"/>
        <v>45992</v>
      </c>
      <c r="D767" s="3" t="s">
        <v>22</v>
      </c>
      <c r="E767" s="2" t="s">
        <v>23</v>
      </c>
      <c r="F767" s="2" t="s">
        <v>18</v>
      </c>
      <c r="G767" s="2" t="s">
        <v>19</v>
      </c>
      <c r="H767" s="3" t="s">
        <v>24</v>
      </c>
      <c r="I767" s="6">
        <v>49</v>
      </c>
      <c r="J767" s="6">
        <v>40</v>
      </c>
      <c r="K767" s="7">
        <v>0.94870400148155909</v>
      </c>
      <c r="L767" s="7">
        <v>0.97731051533743007</v>
      </c>
      <c r="M767" s="7">
        <v>0.995</v>
      </c>
      <c r="N767" s="8">
        <v>22370</v>
      </c>
      <c r="O767" s="7">
        <f t="shared" si="23"/>
        <v>0.90930318991590231</v>
      </c>
    </row>
    <row r="768" spans="1:15">
      <c r="A768" s="3" t="s">
        <v>802</v>
      </c>
      <c r="B768" s="4">
        <v>46009</v>
      </c>
      <c r="C768" s="5">
        <f t="shared" si="22"/>
        <v>45992</v>
      </c>
      <c r="D768" s="3" t="s">
        <v>22</v>
      </c>
      <c r="E768" s="2" t="s">
        <v>23</v>
      </c>
      <c r="F768" s="2" t="s">
        <v>18</v>
      </c>
      <c r="G768" s="2" t="s">
        <v>19</v>
      </c>
      <c r="H768" s="3" t="s">
        <v>24</v>
      </c>
      <c r="I768" s="6">
        <v>54</v>
      </c>
      <c r="J768" s="6">
        <v>53</v>
      </c>
      <c r="K768" s="7">
        <v>0.90190211610688442</v>
      </c>
      <c r="L768" s="7">
        <v>0.95902470315161936</v>
      </c>
      <c r="M768" s="7">
        <v>0.96053732096194211</v>
      </c>
      <c r="N768" s="8">
        <v>26970</v>
      </c>
      <c r="O768" s="7">
        <f t="shared" si="23"/>
        <v>0.95402929128444502</v>
      </c>
    </row>
    <row r="769" spans="1:15">
      <c r="A769" s="3" t="s">
        <v>803</v>
      </c>
      <c r="B769" s="4">
        <v>46009</v>
      </c>
      <c r="C769" s="5">
        <f t="shared" si="22"/>
        <v>45992</v>
      </c>
      <c r="D769" s="3" t="s">
        <v>34</v>
      </c>
      <c r="E769" s="2" t="s">
        <v>35</v>
      </c>
      <c r="F769" s="2" t="s">
        <v>36</v>
      </c>
      <c r="G769" s="2" t="s">
        <v>37</v>
      </c>
      <c r="H769" s="3" t="s">
        <v>20</v>
      </c>
      <c r="I769" s="6">
        <v>37</v>
      </c>
      <c r="J769" s="6">
        <v>35</v>
      </c>
      <c r="K769" s="7">
        <v>0.92364483018291765</v>
      </c>
      <c r="L769" s="7">
        <v>0.96475731714388624</v>
      </c>
      <c r="M769" s="7">
        <v>0.94209006564796249</v>
      </c>
      <c r="N769" s="8">
        <v>18290</v>
      </c>
      <c r="O769" s="7">
        <f t="shared" si="23"/>
        <v>0.94242119662528334</v>
      </c>
    </row>
    <row r="770" spans="1:15">
      <c r="A770" s="3" t="s">
        <v>804</v>
      </c>
      <c r="B770" s="4">
        <v>46010</v>
      </c>
      <c r="C770" s="5">
        <f t="shared" ref="C770:C833" si="24">DATE(YEAR(B770),MONTH(B770),1)</f>
        <v>45992</v>
      </c>
      <c r="D770" s="3" t="s">
        <v>16</v>
      </c>
      <c r="E770" s="2" t="s">
        <v>17</v>
      </c>
      <c r="F770" s="2" t="s">
        <v>18</v>
      </c>
      <c r="G770" s="2" t="s">
        <v>19</v>
      </c>
      <c r="H770" s="3" t="s">
        <v>20</v>
      </c>
      <c r="I770" s="6">
        <v>41</v>
      </c>
      <c r="J770" s="6">
        <v>43</v>
      </c>
      <c r="K770" s="7">
        <v>0.95049276038837738</v>
      </c>
      <c r="L770" s="7">
        <v>0.95772074168665566</v>
      </c>
      <c r="M770" s="7">
        <v>0.9304219401936753</v>
      </c>
      <c r="N770" s="8">
        <v>27640</v>
      </c>
      <c r="O770" s="7">
        <f t="shared" ref="O770:O833" si="25">MIN(J770/I770,1.2)*40%+K770*25%+L770*15%+M770*20%</f>
        <v>0.98687788451077896</v>
      </c>
    </row>
    <row r="771" spans="1:15">
      <c r="A771" s="3" t="s">
        <v>805</v>
      </c>
      <c r="B771" s="4">
        <v>46010</v>
      </c>
      <c r="C771" s="5">
        <f t="shared" si="24"/>
        <v>45992</v>
      </c>
      <c r="D771" s="3" t="s">
        <v>39</v>
      </c>
      <c r="E771" s="2" t="s">
        <v>40</v>
      </c>
      <c r="F771" s="2" t="s">
        <v>36</v>
      </c>
      <c r="G771" s="2" t="s">
        <v>37</v>
      </c>
      <c r="H771" s="3" t="s">
        <v>24</v>
      </c>
      <c r="I771" s="6">
        <v>49</v>
      </c>
      <c r="J771" s="6">
        <v>51</v>
      </c>
      <c r="K771" s="7">
        <v>0.96887479507009144</v>
      </c>
      <c r="L771" s="7">
        <v>0.98599677830474819</v>
      </c>
      <c r="M771" s="7">
        <v>0.93708800675307913</v>
      </c>
      <c r="N771" s="8">
        <v>24760</v>
      </c>
      <c r="O771" s="7">
        <f t="shared" si="25"/>
        <v>0.99386234747609581</v>
      </c>
    </row>
    <row r="772" spans="1:15">
      <c r="A772" s="3" t="s">
        <v>806</v>
      </c>
      <c r="B772" s="4">
        <v>46015</v>
      </c>
      <c r="C772" s="5">
        <f t="shared" si="24"/>
        <v>45992</v>
      </c>
      <c r="D772" s="3" t="s">
        <v>22</v>
      </c>
      <c r="E772" s="2" t="s">
        <v>23</v>
      </c>
      <c r="F772" s="2" t="s">
        <v>18</v>
      </c>
      <c r="G772" s="2" t="s">
        <v>19</v>
      </c>
      <c r="H772" s="3" t="s">
        <v>24</v>
      </c>
      <c r="I772" s="6">
        <v>42</v>
      </c>
      <c r="J772" s="6">
        <v>41</v>
      </c>
      <c r="K772" s="7">
        <v>0.91583694522903125</v>
      </c>
      <c r="L772" s="7">
        <v>0.95230892160805569</v>
      </c>
      <c r="M772" s="7">
        <v>0.9080580147115993</v>
      </c>
      <c r="N772" s="8">
        <v>25560</v>
      </c>
      <c r="O772" s="7">
        <f t="shared" si="25"/>
        <v>0.94389336796697654</v>
      </c>
    </row>
    <row r="773" spans="1:15">
      <c r="A773" s="3" t="s">
        <v>807</v>
      </c>
      <c r="B773" s="4">
        <v>46015</v>
      </c>
      <c r="C773" s="5">
        <f t="shared" si="24"/>
        <v>45992</v>
      </c>
      <c r="D773" s="3" t="s">
        <v>43</v>
      </c>
      <c r="E773" s="2" t="s">
        <v>44</v>
      </c>
      <c r="F773" s="2" t="s">
        <v>28</v>
      </c>
      <c r="G773" s="2" t="s">
        <v>29</v>
      </c>
      <c r="H773" s="3" t="s">
        <v>45</v>
      </c>
      <c r="I773" s="6">
        <v>42</v>
      </c>
      <c r="J773" s="6">
        <v>40</v>
      </c>
      <c r="K773" s="7">
        <v>0.94238068572798295</v>
      </c>
      <c r="L773" s="7">
        <v>0.95676546624652559</v>
      </c>
      <c r="M773" s="7">
        <v>0.92217246515895646</v>
      </c>
      <c r="N773" s="8">
        <v>17060</v>
      </c>
      <c r="O773" s="7">
        <f t="shared" si="25"/>
        <v>0.94449686535314681</v>
      </c>
    </row>
    <row r="774" spans="1:15">
      <c r="A774" s="3" t="s">
        <v>808</v>
      </c>
      <c r="B774" s="4">
        <v>46015</v>
      </c>
      <c r="C774" s="5">
        <f t="shared" si="24"/>
        <v>45992</v>
      </c>
      <c r="D774" s="3" t="s">
        <v>39</v>
      </c>
      <c r="E774" s="2" t="s">
        <v>40</v>
      </c>
      <c r="F774" s="2" t="s">
        <v>36</v>
      </c>
      <c r="G774" s="2" t="s">
        <v>37</v>
      </c>
      <c r="H774" s="3" t="s">
        <v>24</v>
      </c>
      <c r="I774" s="6">
        <v>37</v>
      </c>
      <c r="J774" s="6">
        <v>39</v>
      </c>
      <c r="K774" s="7">
        <v>0.93740214697848168</v>
      </c>
      <c r="L774" s="7">
        <v>0.96433808083761141</v>
      </c>
      <c r="M774" s="7">
        <v>0.91339896563197476</v>
      </c>
      <c r="N774" s="8">
        <v>20280</v>
      </c>
      <c r="O774" s="7">
        <f t="shared" si="25"/>
        <v>0.98330266361827867</v>
      </c>
    </row>
    <row r="775" spans="1:15">
      <c r="A775" s="3" t="s">
        <v>809</v>
      </c>
      <c r="B775" s="4">
        <v>46016</v>
      </c>
      <c r="C775" s="5">
        <f t="shared" si="24"/>
        <v>45992</v>
      </c>
      <c r="D775" s="3" t="s">
        <v>22</v>
      </c>
      <c r="E775" s="2" t="s">
        <v>23</v>
      </c>
      <c r="F775" s="2" t="s">
        <v>18</v>
      </c>
      <c r="G775" s="2" t="s">
        <v>19</v>
      </c>
      <c r="H775" s="3" t="s">
        <v>24</v>
      </c>
      <c r="I775" s="6">
        <v>52</v>
      </c>
      <c r="J775" s="6">
        <v>47</v>
      </c>
      <c r="K775" s="7">
        <v>0.92528659267724389</v>
      </c>
      <c r="L775" s="7">
        <v>0.97747584694787348</v>
      </c>
      <c r="M775" s="7">
        <v>0.91092750664944211</v>
      </c>
      <c r="N775" s="8">
        <v>28020</v>
      </c>
      <c r="O775" s="7">
        <f t="shared" si="25"/>
        <v>0.92166698807984204</v>
      </c>
    </row>
    <row r="776" spans="1:15">
      <c r="A776" s="3" t="s">
        <v>810</v>
      </c>
      <c r="B776" s="4">
        <v>46017</v>
      </c>
      <c r="C776" s="5">
        <f t="shared" si="24"/>
        <v>45992</v>
      </c>
      <c r="D776" s="3" t="s">
        <v>34</v>
      </c>
      <c r="E776" s="2" t="s">
        <v>35</v>
      </c>
      <c r="F776" s="2" t="s">
        <v>36</v>
      </c>
      <c r="G776" s="2" t="s">
        <v>37</v>
      </c>
      <c r="H776" s="3" t="s">
        <v>20</v>
      </c>
      <c r="I776" s="6">
        <v>31</v>
      </c>
      <c r="J776" s="6">
        <v>32</v>
      </c>
      <c r="K776" s="7">
        <v>0.91737682062145687</v>
      </c>
      <c r="L776" s="7">
        <v>0.9536672489788206</v>
      </c>
      <c r="M776" s="7">
        <v>0.93335893610511922</v>
      </c>
      <c r="N776" s="8">
        <v>13580</v>
      </c>
      <c r="O776" s="7">
        <f t="shared" si="25"/>
        <v>0.97196930552966276</v>
      </c>
    </row>
    <row r="777" spans="1:15">
      <c r="A777" s="3" t="s">
        <v>811</v>
      </c>
      <c r="B777" s="4">
        <v>46017</v>
      </c>
      <c r="C777" s="5">
        <f t="shared" si="24"/>
        <v>45992</v>
      </c>
      <c r="D777" s="3" t="s">
        <v>34</v>
      </c>
      <c r="E777" s="2" t="s">
        <v>35</v>
      </c>
      <c r="F777" s="2" t="s">
        <v>36</v>
      </c>
      <c r="G777" s="2" t="s">
        <v>37</v>
      </c>
      <c r="H777" s="3" t="s">
        <v>20</v>
      </c>
      <c r="I777" s="6">
        <v>29</v>
      </c>
      <c r="J777" s="6">
        <v>28</v>
      </c>
      <c r="K777" s="7">
        <v>0.94428207146012111</v>
      </c>
      <c r="L777" s="7">
        <v>0.97242535810060027</v>
      </c>
      <c r="M777" s="7">
        <v>0.92183572918164791</v>
      </c>
      <c r="N777" s="8">
        <v>14100</v>
      </c>
      <c r="O777" s="7">
        <f t="shared" si="25"/>
        <v>0.95250836396817407</v>
      </c>
    </row>
    <row r="778" spans="1:15">
      <c r="A778" s="3" t="s">
        <v>812</v>
      </c>
      <c r="B778" s="4">
        <v>46017</v>
      </c>
      <c r="C778" s="5">
        <f t="shared" si="24"/>
        <v>45992</v>
      </c>
      <c r="D778" s="3" t="s">
        <v>39</v>
      </c>
      <c r="E778" s="2" t="s">
        <v>40</v>
      </c>
      <c r="F778" s="2" t="s">
        <v>36</v>
      </c>
      <c r="G778" s="2" t="s">
        <v>37</v>
      </c>
      <c r="H778" s="3" t="s">
        <v>24</v>
      </c>
      <c r="I778" s="6">
        <v>46</v>
      </c>
      <c r="J778" s="6">
        <v>48</v>
      </c>
      <c r="K778" s="7">
        <v>0.995</v>
      </c>
      <c r="L778" s="7">
        <v>0.96175980621875701</v>
      </c>
      <c r="M778" s="7">
        <v>0.995</v>
      </c>
      <c r="N778" s="8">
        <v>26320</v>
      </c>
      <c r="O778" s="7">
        <f t="shared" si="25"/>
        <v>1.0094052752806397</v>
      </c>
    </row>
    <row r="779" spans="1:15">
      <c r="A779" s="3" t="s">
        <v>813</v>
      </c>
      <c r="B779" s="4">
        <v>46020</v>
      </c>
      <c r="C779" s="5">
        <f t="shared" si="24"/>
        <v>45992</v>
      </c>
      <c r="D779" s="3" t="s">
        <v>26</v>
      </c>
      <c r="E779" s="2" t="s">
        <v>27</v>
      </c>
      <c r="F779" s="2" t="s">
        <v>28</v>
      </c>
      <c r="G779" s="2" t="s">
        <v>29</v>
      </c>
      <c r="H779" s="3" t="s">
        <v>20</v>
      </c>
      <c r="I779" s="6">
        <v>50</v>
      </c>
      <c r="J779" s="6">
        <v>52</v>
      </c>
      <c r="K779" s="7">
        <v>0.88803312749332675</v>
      </c>
      <c r="L779" s="7">
        <v>0.95581863217472884</v>
      </c>
      <c r="M779" s="7">
        <v>0.85901307605787791</v>
      </c>
      <c r="N779" s="8">
        <v>18630</v>
      </c>
      <c r="O779" s="7">
        <f t="shared" si="25"/>
        <v>0.95318369191111663</v>
      </c>
    </row>
    <row r="780" spans="1:15">
      <c r="A780" s="3" t="s">
        <v>814</v>
      </c>
      <c r="B780" s="4">
        <v>46021</v>
      </c>
      <c r="C780" s="5">
        <f t="shared" si="24"/>
        <v>45992</v>
      </c>
      <c r="D780" s="3" t="s">
        <v>22</v>
      </c>
      <c r="E780" s="2" t="s">
        <v>23</v>
      </c>
      <c r="F780" s="2" t="s">
        <v>18</v>
      </c>
      <c r="G780" s="2" t="s">
        <v>19</v>
      </c>
      <c r="H780" s="3" t="s">
        <v>24</v>
      </c>
      <c r="I780" s="6">
        <v>51</v>
      </c>
      <c r="J780" s="6">
        <v>48</v>
      </c>
      <c r="K780" s="7">
        <v>0.90817481836118863</v>
      </c>
      <c r="L780" s="7">
        <v>0.94275713094457159</v>
      </c>
      <c r="M780" s="7">
        <v>0.981470961744487</v>
      </c>
      <c r="N780" s="8">
        <v>25360</v>
      </c>
      <c r="O780" s="7">
        <f t="shared" si="25"/>
        <v>0.94122205481617438</v>
      </c>
    </row>
    <row r="781" spans="1:15">
      <c r="A781" s="3" t="s">
        <v>815</v>
      </c>
      <c r="B781" s="4">
        <v>46023</v>
      </c>
      <c r="C781" s="5">
        <f t="shared" si="24"/>
        <v>46023</v>
      </c>
      <c r="D781" s="3" t="s">
        <v>39</v>
      </c>
      <c r="E781" s="2" t="s">
        <v>40</v>
      </c>
      <c r="F781" s="2" t="s">
        <v>36</v>
      </c>
      <c r="G781" s="2" t="s">
        <v>37</v>
      </c>
      <c r="H781" s="3" t="s">
        <v>24</v>
      </c>
      <c r="I781" s="6">
        <v>48</v>
      </c>
      <c r="J781" s="6">
        <v>52</v>
      </c>
      <c r="K781" s="7">
        <v>0.975835244138064</v>
      </c>
      <c r="L781" s="7">
        <v>1</v>
      </c>
      <c r="M781" s="7">
        <v>0.98437193026146463</v>
      </c>
      <c r="N781" s="8">
        <v>25050</v>
      </c>
      <c r="O781" s="7">
        <f t="shared" si="25"/>
        <v>1.0241665304201424</v>
      </c>
    </row>
    <row r="782" spans="1:15">
      <c r="A782" s="3" t="s">
        <v>816</v>
      </c>
      <c r="B782" s="4">
        <v>46024</v>
      </c>
      <c r="C782" s="5">
        <f t="shared" si="24"/>
        <v>46023</v>
      </c>
      <c r="D782" s="3" t="s">
        <v>39</v>
      </c>
      <c r="E782" s="2" t="s">
        <v>40</v>
      </c>
      <c r="F782" s="2" t="s">
        <v>36</v>
      </c>
      <c r="G782" s="2" t="s">
        <v>37</v>
      </c>
      <c r="H782" s="3" t="s">
        <v>24</v>
      </c>
      <c r="I782" s="6">
        <v>54</v>
      </c>
      <c r="J782" s="6">
        <v>61</v>
      </c>
      <c r="K782" s="7">
        <v>0.97600636630567439</v>
      </c>
      <c r="L782" s="7">
        <v>0.99077313975127634</v>
      </c>
      <c r="M782" s="7">
        <v>0.93004778353426065</v>
      </c>
      <c r="N782" s="8">
        <v>29450</v>
      </c>
      <c r="O782" s="7">
        <f t="shared" si="25"/>
        <v>1.0304789710978139</v>
      </c>
    </row>
    <row r="783" spans="1:15">
      <c r="A783" s="3" t="s">
        <v>817</v>
      </c>
      <c r="B783" s="4">
        <v>46027</v>
      </c>
      <c r="C783" s="5">
        <f t="shared" si="24"/>
        <v>46023</v>
      </c>
      <c r="D783" s="3" t="s">
        <v>16</v>
      </c>
      <c r="E783" s="2" t="s">
        <v>17</v>
      </c>
      <c r="F783" s="2" t="s">
        <v>18</v>
      </c>
      <c r="G783" s="2" t="s">
        <v>19</v>
      </c>
      <c r="H783" s="3" t="s">
        <v>20</v>
      </c>
      <c r="I783" s="6">
        <v>38</v>
      </c>
      <c r="J783" s="6">
        <v>42</v>
      </c>
      <c r="K783" s="7">
        <v>0.97237264248800992</v>
      </c>
      <c r="L783" s="7">
        <v>0.98934125059254241</v>
      </c>
      <c r="M783" s="7">
        <v>0.90431976163024763</v>
      </c>
      <c r="N783" s="8">
        <v>21970</v>
      </c>
      <c r="O783" s="7">
        <f t="shared" si="25"/>
        <v>1.014463563694828</v>
      </c>
    </row>
    <row r="784" spans="1:15">
      <c r="A784" s="3" t="s">
        <v>818</v>
      </c>
      <c r="B784" s="4">
        <v>46027</v>
      </c>
      <c r="C784" s="5">
        <f t="shared" si="24"/>
        <v>46023</v>
      </c>
      <c r="D784" s="3" t="s">
        <v>26</v>
      </c>
      <c r="E784" s="2" t="s">
        <v>27</v>
      </c>
      <c r="F784" s="2" t="s">
        <v>28</v>
      </c>
      <c r="G784" s="2" t="s">
        <v>29</v>
      </c>
      <c r="H784" s="3" t="s">
        <v>20</v>
      </c>
      <c r="I784" s="6">
        <v>39</v>
      </c>
      <c r="J784" s="6">
        <v>41</v>
      </c>
      <c r="K784" s="7">
        <v>0.90176150448703685</v>
      </c>
      <c r="L784" s="7">
        <v>0.93355307654978759</v>
      </c>
      <c r="M784" s="7">
        <v>0.86919860497408374</v>
      </c>
      <c r="N784" s="8">
        <v>17880</v>
      </c>
      <c r="O784" s="7">
        <f t="shared" si="25"/>
        <v>0.95982587911186457</v>
      </c>
    </row>
    <row r="785" spans="1:15">
      <c r="A785" s="3" t="s">
        <v>819</v>
      </c>
      <c r="B785" s="4">
        <v>46029</v>
      </c>
      <c r="C785" s="5">
        <f t="shared" si="24"/>
        <v>46023</v>
      </c>
      <c r="D785" s="3" t="s">
        <v>26</v>
      </c>
      <c r="E785" s="2" t="s">
        <v>27</v>
      </c>
      <c r="F785" s="2" t="s">
        <v>28</v>
      </c>
      <c r="G785" s="2" t="s">
        <v>29</v>
      </c>
      <c r="H785" s="3" t="s">
        <v>20</v>
      </c>
      <c r="I785" s="6">
        <v>38</v>
      </c>
      <c r="J785" s="6">
        <v>36</v>
      </c>
      <c r="K785" s="7">
        <v>0.9137653276495511</v>
      </c>
      <c r="L785" s="7">
        <v>0.93517827529124187</v>
      </c>
      <c r="M785" s="7">
        <v>0.91285353867210439</v>
      </c>
      <c r="N785" s="8">
        <v>15930</v>
      </c>
      <c r="O785" s="7">
        <f t="shared" si="25"/>
        <v>0.93023614936154753</v>
      </c>
    </row>
    <row r="786" spans="1:15">
      <c r="A786" s="3" t="s">
        <v>820</v>
      </c>
      <c r="B786" s="4">
        <v>46030</v>
      </c>
      <c r="C786" s="5">
        <f t="shared" si="24"/>
        <v>46023</v>
      </c>
      <c r="D786" s="3" t="s">
        <v>22</v>
      </c>
      <c r="E786" s="2" t="s">
        <v>23</v>
      </c>
      <c r="F786" s="2" t="s">
        <v>18</v>
      </c>
      <c r="G786" s="2" t="s">
        <v>19</v>
      </c>
      <c r="H786" s="3" t="s">
        <v>24</v>
      </c>
      <c r="I786" s="6">
        <v>38</v>
      </c>
      <c r="J786" s="6">
        <v>39</v>
      </c>
      <c r="K786" s="7">
        <v>0.93748204805133761</v>
      </c>
      <c r="L786" s="7">
        <v>0.98018062182285903</v>
      </c>
      <c r="M786" s="7">
        <v>0.94923322660503684</v>
      </c>
      <c r="N786" s="8">
        <v>23830</v>
      </c>
      <c r="O786" s="7">
        <f t="shared" si="25"/>
        <v>0.98177056639674443</v>
      </c>
    </row>
    <row r="787" spans="1:15">
      <c r="A787" s="3" t="s">
        <v>821</v>
      </c>
      <c r="B787" s="4">
        <v>46030</v>
      </c>
      <c r="C787" s="5">
        <f t="shared" si="24"/>
        <v>46023</v>
      </c>
      <c r="D787" s="3" t="s">
        <v>34</v>
      </c>
      <c r="E787" s="2" t="s">
        <v>35</v>
      </c>
      <c r="F787" s="2" t="s">
        <v>36</v>
      </c>
      <c r="G787" s="2" t="s">
        <v>37</v>
      </c>
      <c r="H787" s="3" t="s">
        <v>20</v>
      </c>
      <c r="I787" s="6">
        <v>42</v>
      </c>
      <c r="J787" s="6">
        <v>39</v>
      </c>
      <c r="K787" s="7">
        <v>0.92157672057301265</v>
      </c>
      <c r="L787" s="7">
        <v>0.96856228118274679</v>
      </c>
      <c r="M787" s="7">
        <v>0.97849767760052786</v>
      </c>
      <c r="N787" s="8">
        <v>17170</v>
      </c>
      <c r="O787" s="7">
        <f t="shared" si="25"/>
        <v>0.94280662926934222</v>
      </c>
    </row>
    <row r="788" spans="1:15">
      <c r="A788" s="3" t="s">
        <v>822</v>
      </c>
      <c r="B788" s="4">
        <v>46031</v>
      </c>
      <c r="C788" s="5">
        <f t="shared" si="24"/>
        <v>46023</v>
      </c>
      <c r="D788" s="3" t="s">
        <v>22</v>
      </c>
      <c r="E788" s="2" t="s">
        <v>23</v>
      </c>
      <c r="F788" s="2" t="s">
        <v>18</v>
      </c>
      <c r="G788" s="2" t="s">
        <v>19</v>
      </c>
      <c r="H788" s="3" t="s">
        <v>24</v>
      </c>
      <c r="I788" s="6">
        <v>48</v>
      </c>
      <c r="J788" s="6">
        <v>48</v>
      </c>
      <c r="K788" s="7">
        <v>0.89606926268729903</v>
      </c>
      <c r="L788" s="7">
        <v>0.95818798844250908</v>
      </c>
      <c r="M788" s="7">
        <v>0.92498833520391521</v>
      </c>
      <c r="N788" s="8">
        <v>23970</v>
      </c>
      <c r="O788" s="7">
        <f t="shared" si="25"/>
        <v>0.95274318097898414</v>
      </c>
    </row>
    <row r="789" spans="1:15">
      <c r="A789" s="3" t="s">
        <v>823</v>
      </c>
      <c r="B789" s="4">
        <v>46031</v>
      </c>
      <c r="C789" s="5">
        <f t="shared" si="24"/>
        <v>46023</v>
      </c>
      <c r="D789" s="3" t="s">
        <v>34</v>
      </c>
      <c r="E789" s="2" t="s">
        <v>35</v>
      </c>
      <c r="F789" s="2" t="s">
        <v>36</v>
      </c>
      <c r="G789" s="2" t="s">
        <v>37</v>
      </c>
      <c r="H789" s="3" t="s">
        <v>20</v>
      </c>
      <c r="I789" s="6">
        <v>54</v>
      </c>
      <c r="J789" s="6">
        <v>54</v>
      </c>
      <c r="K789" s="7">
        <v>0.95219889431357174</v>
      </c>
      <c r="L789" s="7">
        <v>0.94871188340852974</v>
      </c>
      <c r="M789" s="7">
        <v>0.90744322976716174</v>
      </c>
      <c r="N789" s="8">
        <v>27500</v>
      </c>
      <c r="O789" s="7">
        <f t="shared" si="25"/>
        <v>0.96184515204310483</v>
      </c>
    </row>
    <row r="790" spans="1:15">
      <c r="A790" s="3" t="s">
        <v>824</v>
      </c>
      <c r="B790" s="4">
        <v>46031</v>
      </c>
      <c r="C790" s="5">
        <f t="shared" si="24"/>
        <v>46023</v>
      </c>
      <c r="D790" s="3" t="s">
        <v>39</v>
      </c>
      <c r="E790" s="2" t="s">
        <v>40</v>
      </c>
      <c r="F790" s="2" t="s">
        <v>36</v>
      </c>
      <c r="G790" s="2" t="s">
        <v>37</v>
      </c>
      <c r="H790" s="3" t="s">
        <v>24</v>
      </c>
      <c r="I790" s="6">
        <v>51</v>
      </c>
      <c r="J790" s="6">
        <v>51</v>
      </c>
      <c r="K790" s="7">
        <v>0.95462962189863143</v>
      </c>
      <c r="L790" s="7">
        <v>0.97762800739962274</v>
      </c>
      <c r="M790" s="7">
        <v>0.98159116499547205</v>
      </c>
      <c r="N790" s="8">
        <v>23980</v>
      </c>
      <c r="O790" s="7">
        <f t="shared" si="25"/>
        <v>0.9816198395836957</v>
      </c>
    </row>
    <row r="791" spans="1:15">
      <c r="A791" s="3" t="s">
        <v>825</v>
      </c>
      <c r="B791" s="4">
        <v>46035</v>
      </c>
      <c r="C791" s="5">
        <f t="shared" si="24"/>
        <v>46023</v>
      </c>
      <c r="D791" s="3" t="s">
        <v>22</v>
      </c>
      <c r="E791" s="2" t="s">
        <v>23</v>
      </c>
      <c r="F791" s="2" t="s">
        <v>18</v>
      </c>
      <c r="G791" s="2" t="s">
        <v>19</v>
      </c>
      <c r="H791" s="3" t="s">
        <v>24</v>
      </c>
      <c r="I791" s="6">
        <v>50</v>
      </c>
      <c r="J791" s="6">
        <v>51</v>
      </c>
      <c r="K791" s="7">
        <v>0.95427500582696356</v>
      </c>
      <c r="L791" s="7">
        <v>0.96852416585951584</v>
      </c>
      <c r="M791" s="7">
        <v>0.8926233092717788</v>
      </c>
      <c r="N791" s="8">
        <v>29660</v>
      </c>
      <c r="O791" s="7">
        <f t="shared" si="25"/>
        <v>0.97037203819002404</v>
      </c>
    </row>
    <row r="792" spans="1:15">
      <c r="A792" s="3" t="s">
        <v>826</v>
      </c>
      <c r="B792" s="4">
        <v>46037</v>
      </c>
      <c r="C792" s="5">
        <f t="shared" si="24"/>
        <v>46023</v>
      </c>
      <c r="D792" s="3" t="s">
        <v>43</v>
      </c>
      <c r="E792" s="2" t="s">
        <v>44</v>
      </c>
      <c r="F792" s="2" t="s">
        <v>28</v>
      </c>
      <c r="G792" s="2" t="s">
        <v>29</v>
      </c>
      <c r="H792" s="3" t="s">
        <v>45</v>
      </c>
      <c r="I792" s="6">
        <v>49</v>
      </c>
      <c r="J792" s="6">
        <v>55</v>
      </c>
      <c r="K792" s="7">
        <v>0.89916830479425125</v>
      </c>
      <c r="L792" s="7">
        <v>0.98512254767500496</v>
      </c>
      <c r="M792" s="7">
        <v>0.95606790605492242</v>
      </c>
      <c r="N792" s="8">
        <v>22890</v>
      </c>
      <c r="O792" s="7">
        <f t="shared" si="25"/>
        <v>1.0127536313975327</v>
      </c>
    </row>
    <row r="793" spans="1:15">
      <c r="A793" s="3" t="s">
        <v>827</v>
      </c>
      <c r="B793" s="4">
        <v>46037</v>
      </c>
      <c r="C793" s="5">
        <f t="shared" si="24"/>
        <v>46023</v>
      </c>
      <c r="D793" s="3" t="s">
        <v>39</v>
      </c>
      <c r="E793" s="2" t="s">
        <v>40</v>
      </c>
      <c r="F793" s="2" t="s">
        <v>36</v>
      </c>
      <c r="G793" s="2" t="s">
        <v>37</v>
      </c>
      <c r="H793" s="3" t="s">
        <v>24</v>
      </c>
      <c r="I793" s="6">
        <v>36</v>
      </c>
      <c r="J793" s="6">
        <v>40</v>
      </c>
      <c r="K793" s="7">
        <v>0.95903335757982477</v>
      </c>
      <c r="L793" s="7">
        <v>0.95381854611747907</v>
      </c>
      <c r="M793" s="7">
        <v>0.97056723456177785</v>
      </c>
      <c r="N793" s="8">
        <v>16800</v>
      </c>
      <c r="O793" s="7">
        <f t="shared" si="25"/>
        <v>1.0213890126693781</v>
      </c>
    </row>
    <row r="794" spans="1:15">
      <c r="A794" s="3" t="s">
        <v>828</v>
      </c>
      <c r="B794" s="4">
        <v>46038</v>
      </c>
      <c r="C794" s="5">
        <f t="shared" si="24"/>
        <v>46023</v>
      </c>
      <c r="D794" s="3" t="s">
        <v>16</v>
      </c>
      <c r="E794" s="2" t="s">
        <v>17</v>
      </c>
      <c r="F794" s="2" t="s">
        <v>18</v>
      </c>
      <c r="G794" s="2" t="s">
        <v>19</v>
      </c>
      <c r="H794" s="3" t="s">
        <v>20</v>
      </c>
      <c r="I794" s="6">
        <v>32</v>
      </c>
      <c r="J794" s="6">
        <v>33</v>
      </c>
      <c r="K794" s="7">
        <v>0.90888512740882765</v>
      </c>
      <c r="L794" s="7">
        <v>0.94204122482386909</v>
      </c>
      <c r="M794" s="7">
        <v>0.9710998650082775</v>
      </c>
      <c r="N794" s="8">
        <v>19060</v>
      </c>
      <c r="O794" s="7">
        <f t="shared" si="25"/>
        <v>0.97524743857744278</v>
      </c>
    </row>
    <row r="795" spans="1:15">
      <c r="A795" s="3" t="s">
        <v>829</v>
      </c>
      <c r="B795" s="4">
        <v>46038</v>
      </c>
      <c r="C795" s="5">
        <f t="shared" si="24"/>
        <v>46023</v>
      </c>
      <c r="D795" s="3" t="s">
        <v>43</v>
      </c>
      <c r="E795" s="2" t="s">
        <v>44</v>
      </c>
      <c r="F795" s="2" t="s">
        <v>28</v>
      </c>
      <c r="G795" s="2" t="s">
        <v>29</v>
      </c>
      <c r="H795" s="3" t="s">
        <v>45</v>
      </c>
      <c r="I795" s="6">
        <v>40</v>
      </c>
      <c r="J795" s="6">
        <v>37</v>
      </c>
      <c r="K795" s="7">
        <v>0.94894807049385999</v>
      </c>
      <c r="L795" s="7">
        <v>0.99910484785021569</v>
      </c>
      <c r="M795" s="7">
        <v>0.89050279795957676</v>
      </c>
      <c r="N795" s="8">
        <v>15270</v>
      </c>
      <c r="O795" s="7">
        <f t="shared" si="25"/>
        <v>0.93520330439291277</v>
      </c>
    </row>
    <row r="796" spans="1:15">
      <c r="A796" s="3" t="s">
        <v>830</v>
      </c>
      <c r="B796" s="4">
        <v>46038</v>
      </c>
      <c r="C796" s="5">
        <f t="shared" si="24"/>
        <v>46023</v>
      </c>
      <c r="D796" s="3" t="s">
        <v>39</v>
      </c>
      <c r="E796" s="2" t="s">
        <v>40</v>
      </c>
      <c r="F796" s="2" t="s">
        <v>36</v>
      </c>
      <c r="G796" s="2" t="s">
        <v>37</v>
      </c>
      <c r="H796" s="3" t="s">
        <v>24</v>
      </c>
      <c r="I796" s="6">
        <v>53</v>
      </c>
      <c r="J796" s="6">
        <v>56</v>
      </c>
      <c r="K796" s="7">
        <v>0.995</v>
      </c>
      <c r="L796" s="7">
        <v>0.96229127029550721</v>
      </c>
      <c r="M796" s="7">
        <v>0.96809020118263667</v>
      </c>
      <c r="N796" s="8">
        <v>27790</v>
      </c>
      <c r="O796" s="7">
        <f t="shared" si="25"/>
        <v>1.0093532402148158</v>
      </c>
    </row>
    <row r="797" spans="1:15">
      <c r="A797" s="3" t="s">
        <v>831</v>
      </c>
      <c r="B797" s="4">
        <v>46041</v>
      </c>
      <c r="C797" s="5">
        <f t="shared" si="24"/>
        <v>46023</v>
      </c>
      <c r="D797" s="3" t="s">
        <v>34</v>
      </c>
      <c r="E797" s="2" t="s">
        <v>35</v>
      </c>
      <c r="F797" s="2" t="s">
        <v>36</v>
      </c>
      <c r="G797" s="2" t="s">
        <v>37</v>
      </c>
      <c r="H797" s="3" t="s">
        <v>20</v>
      </c>
      <c r="I797" s="6">
        <v>43</v>
      </c>
      <c r="J797" s="6">
        <v>46</v>
      </c>
      <c r="K797" s="7">
        <v>0.87064161656726391</v>
      </c>
      <c r="L797" s="7">
        <v>0.95086405934103169</v>
      </c>
      <c r="M797" s="7">
        <v>0.93714353810132789</v>
      </c>
      <c r="N797" s="8">
        <v>22000</v>
      </c>
      <c r="O797" s="7">
        <f t="shared" si="25"/>
        <v>0.97562569740742244</v>
      </c>
    </row>
    <row r="798" spans="1:15">
      <c r="A798" s="3" t="s">
        <v>832</v>
      </c>
      <c r="B798" s="4">
        <v>46042</v>
      </c>
      <c r="C798" s="5">
        <f t="shared" si="24"/>
        <v>46023</v>
      </c>
      <c r="D798" s="3" t="s">
        <v>26</v>
      </c>
      <c r="E798" s="2" t="s">
        <v>27</v>
      </c>
      <c r="F798" s="2" t="s">
        <v>28</v>
      </c>
      <c r="G798" s="2" t="s">
        <v>29</v>
      </c>
      <c r="H798" s="3" t="s">
        <v>20</v>
      </c>
      <c r="I798" s="6">
        <v>34</v>
      </c>
      <c r="J798" s="6">
        <v>35</v>
      </c>
      <c r="K798" s="7">
        <v>0.90711151956418234</v>
      </c>
      <c r="L798" s="7">
        <v>0.94780970067002213</v>
      </c>
      <c r="M798" s="7">
        <v>0.86975153319722753</v>
      </c>
      <c r="N798" s="8">
        <v>12270</v>
      </c>
      <c r="O798" s="7">
        <f t="shared" si="25"/>
        <v>0.95466434751334739</v>
      </c>
    </row>
    <row r="799" spans="1:15">
      <c r="A799" s="3" t="s">
        <v>833</v>
      </c>
      <c r="B799" s="4">
        <v>46043</v>
      </c>
      <c r="C799" s="5">
        <f t="shared" si="24"/>
        <v>46023</v>
      </c>
      <c r="D799" s="3" t="s">
        <v>26</v>
      </c>
      <c r="E799" s="2" t="s">
        <v>27</v>
      </c>
      <c r="F799" s="2" t="s">
        <v>28</v>
      </c>
      <c r="G799" s="2" t="s">
        <v>29</v>
      </c>
      <c r="H799" s="3" t="s">
        <v>20</v>
      </c>
      <c r="I799" s="6">
        <v>30</v>
      </c>
      <c r="J799" s="6">
        <v>29</v>
      </c>
      <c r="K799" s="7">
        <v>0.89517321278887441</v>
      </c>
      <c r="L799" s="7">
        <v>0.95463355870252353</v>
      </c>
      <c r="M799" s="7">
        <v>0.92194146542069499</v>
      </c>
      <c r="N799" s="8">
        <v>10340</v>
      </c>
      <c r="O799" s="7">
        <f t="shared" si="25"/>
        <v>0.9380432967534027</v>
      </c>
    </row>
    <row r="800" spans="1:15">
      <c r="A800" s="3" t="s">
        <v>834</v>
      </c>
      <c r="B800" s="4">
        <v>46043</v>
      </c>
      <c r="C800" s="5">
        <f t="shared" si="24"/>
        <v>46023</v>
      </c>
      <c r="D800" s="3" t="s">
        <v>26</v>
      </c>
      <c r="E800" s="2" t="s">
        <v>27</v>
      </c>
      <c r="F800" s="2" t="s">
        <v>28</v>
      </c>
      <c r="G800" s="2" t="s">
        <v>29</v>
      </c>
      <c r="H800" s="3" t="s">
        <v>20</v>
      </c>
      <c r="I800" s="6">
        <v>52</v>
      </c>
      <c r="J800" s="6">
        <v>46</v>
      </c>
      <c r="K800" s="7">
        <v>0.90316175625240447</v>
      </c>
      <c r="L800" s="7">
        <v>0.92417685663496807</v>
      </c>
      <c r="M800" s="7">
        <v>0.92031161896085445</v>
      </c>
      <c r="N800" s="8">
        <v>19320</v>
      </c>
      <c r="O800" s="7">
        <f t="shared" si="25"/>
        <v>0.90232544519667102</v>
      </c>
    </row>
    <row r="801" spans="1:15">
      <c r="A801" s="3" t="s">
        <v>835</v>
      </c>
      <c r="B801" s="4">
        <v>46043</v>
      </c>
      <c r="C801" s="5">
        <f t="shared" si="24"/>
        <v>46023</v>
      </c>
      <c r="D801" s="3" t="s">
        <v>34</v>
      </c>
      <c r="E801" s="2" t="s">
        <v>35</v>
      </c>
      <c r="F801" s="2" t="s">
        <v>36</v>
      </c>
      <c r="G801" s="2" t="s">
        <v>37</v>
      </c>
      <c r="H801" s="3" t="s">
        <v>20</v>
      </c>
      <c r="I801" s="6">
        <v>55</v>
      </c>
      <c r="J801" s="6">
        <v>52</v>
      </c>
      <c r="K801" s="7">
        <v>0.95468204277239299</v>
      </c>
      <c r="L801" s="7">
        <v>0.96144991269214042</v>
      </c>
      <c r="M801" s="7">
        <v>0.90759277335186628</v>
      </c>
      <c r="N801" s="8">
        <v>21570</v>
      </c>
      <c r="O801" s="7">
        <f t="shared" si="25"/>
        <v>0.9425883704491107</v>
      </c>
    </row>
    <row r="802" spans="1:15">
      <c r="A802" s="3" t="s">
        <v>836</v>
      </c>
      <c r="B802" s="4">
        <v>46044</v>
      </c>
      <c r="C802" s="5">
        <f t="shared" si="24"/>
        <v>46023</v>
      </c>
      <c r="D802" s="3" t="s">
        <v>26</v>
      </c>
      <c r="E802" s="2" t="s">
        <v>27</v>
      </c>
      <c r="F802" s="2" t="s">
        <v>28</v>
      </c>
      <c r="G802" s="2" t="s">
        <v>29</v>
      </c>
      <c r="H802" s="3" t="s">
        <v>20</v>
      </c>
      <c r="I802" s="6">
        <v>45</v>
      </c>
      <c r="J802" s="6">
        <v>45</v>
      </c>
      <c r="K802" s="7">
        <v>0.85306775742067531</v>
      </c>
      <c r="L802" s="7">
        <v>0.93566766708788685</v>
      </c>
      <c r="M802" s="7">
        <v>0.89159285617934148</v>
      </c>
      <c r="N802" s="8">
        <v>17790</v>
      </c>
      <c r="O802" s="7">
        <f t="shared" si="25"/>
        <v>0.93193566065422018</v>
      </c>
    </row>
    <row r="803" spans="1:15">
      <c r="A803" s="3" t="s">
        <v>837</v>
      </c>
      <c r="B803" s="4">
        <v>46045</v>
      </c>
      <c r="C803" s="5">
        <f t="shared" si="24"/>
        <v>46023</v>
      </c>
      <c r="D803" s="3" t="s">
        <v>43</v>
      </c>
      <c r="E803" s="2" t="s">
        <v>44</v>
      </c>
      <c r="F803" s="2" t="s">
        <v>28</v>
      </c>
      <c r="G803" s="2" t="s">
        <v>29</v>
      </c>
      <c r="H803" s="3" t="s">
        <v>45</v>
      </c>
      <c r="I803" s="6">
        <v>49</v>
      </c>
      <c r="J803" s="6">
        <v>50</v>
      </c>
      <c r="K803" s="7">
        <v>0.96119594523109786</v>
      </c>
      <c r="L803" s="7">
        <v>0.97089891439761389</v>
      </c>
      <c r="M803" s="7">
        <v>0.88894223768209035</v>
      </c>
      <c r="N803" s="8">
        <v>20120</v>
      </c>
      <c r="O803" s="7">
        <f t="shared" si="25"/>
        <v>0.97188553630995711</v>
      </c>
    </row>
    <row r="804" spans="1:15">
      <c r="A804" s="3" t="s">
        <v>838</v>
      </c>
      <c r="B804" s="4">
        <v>46045</v>
      </c>
      <c r="C804" s="5">
        <f t="shared" si="24"/>
        <v>46023</v>
      </c>
      <c r="D804" s="3" t="s">
        <v>39</v>
      </c>
      <c r="E804" s="2" t="s">
        <v>40</v>
      </c>
      <c r="F804" s="2" t="s">
        <v>36</v>
      </c>
      <c r="G804" s="2" t="s">
        <v>37</v>
      </c>
      <c r="H804" s="3" t="s">
        <v>24</v>
      </c>
      <c r="I804" s="6">
        <v>44</v>
      </c>
      <c r="J804" s="6">
        <v>48</v>
      </c>
      <c r="K804" s="7">
        <v>0.97350655417759402</v>
      </c>
      <c r="L804" s="7">
        <v>0.98266387533507427</v>
      </c>
      <c r="M804" s="7">
        <v>0.94646996075009204</v>
      </c>
      <c r="N804" s="8">
        <v>25910</v>
      </c>
      <c r="O804" s="7">
        <f t="shared" si="25"/>
        <v>1.0164338483583144</v>
      </c>
    </row>
    <row r="805" spans="1:15">
      <c r="A805" s="3" t="s">
        <v>839</v>
      </c>
      <c r="B805" s="4">
        <v>46048</v>
      </c>
      <c r="C805" s="5">
        <f t="shared" si="24"/>
        <v>46023</v>
      </c>
      <c r="D805" s="3" t="s">
        <v>16</v>
      </c>
      <c r="E805" s="2" t="s">
        <v>17</v>
      </c>
      <c r="F805" s="2" t="s">
        <v>18</v>
      </c>
      <c r="G805" s="2" t="s">
        <v>19</v>
      </c>
      <c r="H805" s="3" t="s">
        <v>20</v>
      </c>
      <c r="I805" s="6">
        <v>39</v>
      </c>
      <c r="J805" s="6">
        <v>43</v>
      </c>
      <c r="K805" s="7">
        <v>0.91438138170999728</v>
      </c>
      <c r="L805" s="7">
        <v>0.95021249819954567</v>
      </c>
      <c r="M805" s="7">
        <v>0.91207573762669425</v>
      </c>
      <c r="N805" s="8">
        <v>23560</v>
      </c>
      <c r="O805" s="7">
        <f t="shared" si="25"/>
        <v>0.994568008708411</v>
      </c>
    </row>
    <row r="806" spans="1:15">
      <c r="A806" s="3" t="s">
        <v>840</v>
      </c>
      <c r="B806" s="4">
        <v>46048</v>
      </c>
      <c r="C806" s="5">
        <f t="shared" si="24"/>
        <v>46023</v>
      </c>
      <c r="D806" s="3" t="s">
        <v>39</v>
      </c>
      <c r="E806" s="2" t="s">
        <v>40</v>
      </c>
      <c r="F806" s="2" t="s">
        <v>36</v>
      </c>
      <c r="G806" s="2" t="s">
        <v>37</v>
      </c>
      <c r="H806" s="3" t="s">
        <v>24</v>
      </c>
      <c r="I806" s="6">
        <v>32</v>
      </c>
      <c r="J806" s="6">
        <v>35</v>
      </c>
      <c r="K806" s="7">
        <v>0.96447579042284448</v>
      </c>
      <c r="L806" s="7">
        <v>0.97147870579105056</v>
      </c>
      <c r="M806" s="7">
        <v>0.97686872057103813</v>
      </c>
      <c r="N806" s="8">
        <v>18730</v>
      </c>
      <c r="O806" s="7">
        <f t="shared" si="25"/>
        <v>1.0197144975885764</v>
      </c>
    </row>
    <row r="807" spans="1:15">
      <c r="A807" s="3" t="s">
        <v>841</v>
      </c>
      <c r="B807" s="4">
        <v>46051</v>
      </c>
      <c r="C807" s="5">
        <f t="shared" si="24"/>
        <v>46023</v>
      </c>
      <c r="D807" s="3" t="s">
        <v>22</v>
      </c>
      <c r="E807" s="2" t="s">
        <v>23</v>
      </c>
      <c r="F807" s="2" t="s">
        <v>18</v>
      </c>
      <c r="G807" s="2" t="s">
        <v>19</v>
      </c>
      <c r="H807" s="3" t="s">
        <v>24</v>
      </c>
      <c r="I807" s="6">
        <v>51</v>
      </c>
      <c r="J807" s="6">
        <v>50</v>
      </c>
      <c r="K807" s="7">
        <v>0.90300479081421436</v>
      </c>
      <c r="L807" s="7">
        <v>0.98406406975710758</v>
      </c>
      <c r="M807" s="7">
        <v>0.96697828328691937</v>
      </c>
      <c r="N807" s="8">
        <v>26390</v>
      </c>
      <c r="O807" s="7">
        <f t="shared" si="25"/>
        <v>0.95891332756960168</v>
      </c>
    </row>
    <row r="808" spans="1:15">
      <c r="A808" s="3" t="s">
        <v>842</v>
      </c>
      <c r="B808" s="4">
        <v>46052</v>
      </c>
      <c r="C808" s="5">
        <f t="shared" si="24"/>
        <v>46023</v>
      </c>
      <c r="D808" s="3" t="s">
        <v>22</v>
      </c>
      <c r="E808" s="2" t="s">
        <v>23</v>
      </c>
      <c r="F808" s="2" t="s">
        <v>18</v>
      </c>
      <c r="G808" s="2" t="s">
        <v>19</v>
      </c>
      <c r="H808" s="3" t="s">
        <v>24</v>
      </c>
      <c r="I808" s="6">
        <v>41</v>
      </c>
      <c r="J808" s="6">
        <v>44</v>
      </c>
      <c r="K808" s="7">
        <v>0.88392443914030028</v>
      </c>
      <c r="L808" s="7">
        <v>0.98328129153407162</v>
      </c>
      <c r="M808" s="7">
        <v>0.96339689082384983</v>
      </c>
      <c r="N808" s="8">
        <v>24450</v>
      </c>
      <c r="O808" s="7">
        <f t="shared" si="25"/>
        <v>0.99042097436288268</v>
      </c>
    </row>
    <row r="809" spans="1:15">
      <c r="A809" s="3" t="s">
        <v>843</v>
      </c>
      <c r="B809" s="4">
        <v>46052</v>
      </c>
      <c r="C809" s="5">
        <f t="shared" si="24"/>
        <v>46023</v>
      </c>
      <c r="D809" s="3" t="s">
        <v>26</v>
      </c>
      <c r="E809" s="2" t="s">
        <v>27</v>
      </c>
      <c r="F809" s="2" t="s">
        <v>28</v>
      </c>
      <c r="G809" s="2" t="s">
        <v>29</v>
      </c>
      <c r="H809" s="3" t="s">
        <v>20</v>
      </c>
      <c r="I809" s="6">
        <v>55</v>
      </c>
      <c r="J809" s="6">
        <v>49</v>
      </c>
      <c r="K809" s="7">
        <v>0.9069739732059755</v>
      </c>
      <c r="L809" s="7">
        <v>0.95044480197490144</v>
      </c>
      <c r="M809" s="7">
        <v>0.92846663239632787</v>
      </c>
      <c r="N809" s="8">
        <v>20950</v>
      </c>
      <c r="O809" s="7">
        <f t="shared" si="25"/>
        <v>0.91136717644063103</v>
      </c>
    </row>
    <row r="810" spans="1:15">
      <c r="A810" s="3" t="s">
        <v>844</v>
      </c>
      <c r="B810" s="4">
        <v>46052</v>
      </c>
      <c r="C810" s="5">
        <f t="shared" si="24"/>
        <v>46023</v>
      </c>
      <c r="D810" s="3" t="s">
        <v>39</v>
      </c>
      <c r="E810" s="2" t="s">
        <v>40</v>
      </c>
      <c r="F810" s="2" t="s">
        <v>36</v>
      </c>
      <c r="G810" s="2" t="s">
        <v>37</v>
      </c>
      <c r="H810" s="3" t="s">
        <v>24</v>
      </c>
      <c r="I810" s="6">
        <v>29</v>
      </c>
      <c r="J810" s="6">
        <v>35</v>
      </c>
      <c r="K810" s="7">
        <v>0.94189007527308022</v>
      </c>
      <c r="L810" s="7">
        <v>0.99933353594944996</v>
      </c>
      <c r="M810" s="7">
        <v>0.91940767791114253</v>
      </c>
      <c r="N810" s="8">
        <v>18150</v>
      </c>
      <c r="O810" s="7">
        <f t="shared" si="25"/>
        <v>1.0492540847929162</v>
      </c>
    </row>
    <row r="811" spans="1:15">
      <c r="A811" s="3" t="s">
        <v>845</v>
      </c>
      <c r="B811" s="4">
        <v>46055</v>
      </c>
      <c r="C811" s="5">
        <f t="shared" si="24"/>
        <v>46054</v>
      </c>
      <c r="D811" s="3" t="s">
        <v>43</v>
      </c>
      <c r="E811" s="2" t="s">
        <v>44</v>
      </c>
      <c r="F811" s="2" t="s">
        <v>28</v>
      </c>
      <c r="G811" s="2" t="s">
        <v>29</v>
      </c>
      <c r="H811" s="3" t="s">
        <v>45</v>
      </c>
      <c r="I811" s="6">
        <v>29</v>
      </c>
      <c r="J811" s="6">
        <v>29</v>
      </c>
      <c r="K811" s="7">
        <v>0.94810721351735294</v>
      </c>
      <c r="L811" s="7">
        <v>0.96455652786291957</v>
      </c>
      <c r="M811" s="7">
        <v>0.93716029711619397</v>
      </c>
      <c r="N811" s="8">
        <v>12880</v>
      </c>
      <c r="O811" s="7">
        <f t="shared" si="25"/>
        <v>0.96914234198201499</v>
      </c>
    </row>
    <row r="812" spans="1:15">
      <c r="A812" s="3" t="s">
        <v>846</v>
      </c>
      <c r="B812" s="4">
        <v>46055</v>
      </c>
      <c r="C812" s="5">
        <f t="shared" si="24"/>
        <v>46054</v>
      </c>
      <c r="D812" s="3" t="s">
        <v>39</v>
      </c>
      <c r="E812" s="2" t="s">
        <v>40</v>
      </c>
      <c r="F812" s="2" t="s">
        <v>36</v>
      </c>
      <c r="G812" s="2" t="s">
        <v>37</v>
      </c>
      <c r="H812" s="3" t="s">
        <v>24</v>
      </c>
      <c r="I812" s="6">
        <v>45</v>
      </c>
      <c r="J812" s="6">
        <v>48</v>
      </c>
      <c r="K812" s="7">
        <v>0.995</v>
      </c>
      <c r="L812" s="7">
        <v>0.97820497784523197</v>
      </c>
      <c r="M812" s="7">
        <v>0.99036963499111674</v>
      </c>
      <c r="N812" s="8">
        <v>20990</v>
      </c>
      <c r="O812" s="7">
        <f t="shared" si="25"/>
        <v>1.0202213403416747</v>
      </c>
    </row>
    <row r="813" spans="1:15">
      <c r="A813" s="3" t="s">
        <v>847</v>
      </c>
      <c r="B813" s="4">
        <v>46059</v>
      </c>
      <c r="C813" s="5">
        <f t="shared" si="24"/>
        <v>46054</v>
      </c>
      <c r="D813" s="3" t="s">
        <v>16</v>
      </c>
      <c r="E813" s="2" t="s">
        <v>17</v>
      </c>
      <c r="F813" s="2" t="s">
        <v>18</v>
      </c>
      <c r="G813" s="2" t="s">
        <v>19</v>
      </c>
      <c r="H813" s="3" t="s">
        <v>20</v>
      </c>
      <c r="I813" s="6">
        <v>42</v>
      </c>
      <c r="J813" s="6">
        <v>42</v>
      </c>
      <c r="K813" s="7">
        <v>0.92816198611351786</v>
      </c>
      <c r="L813" s="7">
        <v>0.95914181759869066</v>
      </c>
      <c r="M813" s="7">
        <v>0.95699675694758701</v>
      </c>
      <c r="N813" s="8">
        <v>23020</v>
      </c>
      <c r="O813" s="7">
        <f t="shared" si="25"/>
        <v>0.96731112055770052</v>
      </c>
    </row>
    <row r="814" spans="1:15">
      <c r="A814" s="3" t="s">
        <v>848</v>
      </c>
      <c r="B814" s="4">
        <v>46059</v>
      </c>
      <c r="C814" s="5">
        <f t="shared" si="24"/>
        <v>46054</v>
      </c>
      <c r="D814" s="3" t="s">
        <v>22</v>
      </c>
      <c r="E814" s="2" t="s">
        <v>23</v>
      </c>
      <c r="F814" s="2" t="s">
        <v>18</v>
      </c>
      <c r="G814" s="2" t="s">
        <v>19</v>
      </c>
      <c r="H814" s="3" t="s">
        <v>24</v>
      </c>
      <c r="I814" s="6">
        <v>45</v>
      </c>
      <c r="J814" s="6">
        <v>54</v>
      </c>
      <c r="K814" s="7">
        <v>0.94374042658148194</v>
      </c>
      <c r="L814" s="7">
        <v>0.96109447506522161</v>
      </c>
      <c r="M814" s="7">
        <v>0.96004730902707769</v>
      </c>
      <c r="N814" s="8">
        <v>33640</v>
      </c>
      <c r="O814" s="7">
        <f t="shared" si="25"/>
        <v>1.0521087397105693</v>
      </c>
    </row>
    <row r="815" spans="1:15">
      <c r="A815" s="3" t="s">
        <v>849</v>
      </c>
      <c r="B815" s="4">
        <v>46059</v>
      </c>
      <c r="C815" s="5">
        <f t="shared" si="24"/>
        <v>46054</v>
      </c>
      <c r="D815" s="3" t="s">
        <v>34</v>
      </c>
      <c r="E815" s="2" t="s">
        <v>35</v>
      </c>
      <c r="F815" s="2" t="s">
        <v>36</v>
      </c>
      <c r="G815" s="2" t="s">
        <v>37</v>
      </c>
      <c r="H815" s="3" t="s">
        <v>20</v>
      </c>
      <c r="I815" s="6">
        <v>43</v>
      </c>
      <c r="J815" s="6">
        <v>42</v>
      </c>
      <c r="K815" s="7">
        <v>0.95418163112711596</v>
      </c>
      <c r="L815" s="7">
        <v>0.9562327092932783</v>
      </c>
      <c r="M815" s="7">
        <v>0.97160732137299799</v>
      </c>
      <c r="N815" s="8">
        <v>19720</v>
      </c>
      <c r="O815" s="7">
        <f t="shared" si="25"/>
        <v>0.96699945286897493</v>
      </c>
    </row>
    <row r="816" spans="1:15">
      <c r="A816" s="3" t="s">
        <v>850</v>
      </c>
      <c r="B816" s="4">
        <v>46062</v>
      </c>
      <c r="C816" s="5">
        <f t="shared" si="24"/>
        <v>46054</v>
      </c>
      <c r="D816" s="3" t="s">
        <v>26</v>
      </c>
      <c r="E816" s="2" t="s">
        <v>27</v>
      </c>
      <c r="F816" s="2" t="s">
        <v>28</v>
      </c>
      <c r="G816" s="2" t="s">
        <v>29</v>
      </c>
      <c r="H816" s="3" t="s">
        <v>20</v>
      </c>
      <c r="I816" s="6">
        <v>36</v>
      </c>
      <c r="J816" s="6">
        <v>34</v>
      </c>
      <c r="K816" s="7">
        <v>0.87134953656231373</v>
      </c>
      <c r="L816" s="7">
        <v>0.93908051567755479</v>
      </c>
      <c r="M816" s="7">
        <v>0.88162461206649778</v>
      </c>
      <c r="N816" s="8">
        <v>14180</v>
      </c>
      <c r="O816" s="7">
        <f t="shared" si="25"/>
        <v>0.91280216168328898</v>
      </c>
    </row>
    <row r="817" spans="1:15">
      <c r="A817" s="3" t="s">
        <v>851</v>
      </c>
      <c r="B817" s="4">
        <v>46064</v>
      </c>
      <c r="C817" s="5">
        <f t="shared" si="24"/>
        <v>46054</v>
      </c>
      <c r="D817" s="3" t="s">
        <v>22</v>
      </c>
      <c r="E817" s="2" t="s">
        <v>23</v>
      </c>
      <c r="F817" s="2" t="s">
        <v>18</v>
      </c>
      <c r="G817" s="2" t="s">
        <v>19</v>
      </c>
      <c r="H817" s="3" t="s">
        <v>24</v>
      </c>
      <c r="I817" s="6">
        <v>43</v>
      </c>
      <c r="J817" s="6">
        <v>48</v>
      </c>
      <c r="K817" s="7">
        <v>0.90422208302990481</v>
      </c>
      <c r="L817" s="7">
        <v>0.95481768869080363</v>
      </c>
      <c r="M817" s="7">
        <v>0.92399623565534295</v>
      </c>
      <c r="N817" s="8">
        <v>24690</v>
      </c>
      <c r="O817" s="7">
        <f t="shared" si="25"/>
        <v>1.000589049099142</v>
      </c>
    </row>
    <row r="818" spans="1:15">
      <c r="A818" s="3" t="s">
        <v>852</v>
      </c>
      <c r="B818" s="4">
        <v>46064</v>
      </c>
      <c r="C818" s="5">
        <f t="shared" si="24"/>
        <v>46054</v>
      </c>
      <c r="D818" s="3" t="s">
        <v>43</v>
      </c>
      <c r="E818" s="2" t="s">
        <v>44</v>
      </c>
      <c r="F818" s="2" t="s">
        <v>28</v>
      </c>
      <c r="G818" s="2" t="s">
        <v>29</v>
      </c>
      <c r="H818" s="3" t="s">
        <v>45</v>
      </c>
      <c r="I818" s="6">
        <v>47</v>
      </c>
      <c r="J818" s="6">
        <v>52</v>
      </c>
      <c r="K818" s="7">
        <v>0.95713965772075549</v>
      </c>
      <c r="L818" s="7">
        <v>0.96228771274839187</v>
      </c>
      <c r="M818" s="7">
        <v>0.92992260566057794</v>
      </c>
      <c r="N818" s="8">
        <v>22590</v>
      </c>
      <c r="O818" s="7">
        <f t="shared" si="25"/>
        <v>1.0121657839639249</v>
      </c>
    </row>
    <row r="819" spans="1:15">
      <c r="A819" s="3" t="s">
        <v>853</v>
      </c>
      <c r="B819" s="4">
        <v>46065</v>
      </c>
      <c r="C819" s="5">
        <f t="shared" si="24"/>
        <v>46054</v>
      </c>
      <c r="D819" s="3" t="s">
        <v>16</v>
      </c>
      <c r="E819" s="2" t="s">
        <v>17</v>
      </c>
      <c r="F819" s="2" t="s">
        <v>18</v>
      </c>
      <c r="G819" s="2" t="s">
        <v>19</v>
      </c>
      <c r="H819" s="3" t="s">
        <v>20</v>
      </c>
      <c r="I819" s="6">
        <v>51</v>
      </c>
      <c r="J819" s="6">
        <v>54</v>
      </c>
      <c r="K819" s="7">
        <v>0.90725972591656112</v>
      </c>
      <c r="L819" s="7">
        <v>0.94836608091200314</v>
      </c>
      <c r="M819" s="7">
        <v>0.953892320790512</v>
      </c>
      <c r="N819" s="8">
        <v>29920</v>
      </c>
      <c r="O819" s="7">
        <f t="shared" si="25"/>
        <v>0.98337771953874908</v>
      </c>
    </row>
    <row r="820" spans="1:15">
      <c r="A820" s="3" t="s">
        <v>854</v>
      </c>
      <c r="B820" s="4">
        <v>46065</v>
      </c>
      <c r="C820" s="5">
        <f t="shared" si="24"/>
        <v>46054</v>
      </c>
      <c r="D820" s="3" t="s">
        <v>22</v>
      </c>
      <c r="E820" s="2" t="s">
        <v>23</v>
      </c>
      <c r="F820" s="2" t="s">
        <v>18</v>
      </c>
      <c r="G820" s="2" t="s">
        <v>19</v>
      </c>
      <c r="H820" s="3" t="s">
        <v>24</v>
      </c>
      <c r="I820" s="6">
        <v>43</v>
      </c>
      <c r="J820" s="6">
        <v>42</v>
      </c>
      <c r="K820" s="7">
        <v>0.96452029272700601</v>
      </c>
      <c r="L820" s="7">
        <v>0.96720338307796372</v>
      </c>
      <c r="M820" s="7">
        <v>0.91523907902438251</v>
      </c>
      <c r="N820" s="8">
        <v>25230</v>
      </c>
      <c r="O820" s="7">
        <f t="shared" si="25"/>
        <v>0.95995607086692725</v>
      </c>
    </row>
    <row r="821" spans="1:15">
      <c r="A821" s="3" t="s">
        <v>855</v>
      </c>
      <c r="B821" s="4">
        <v>46066</v>
      </c>
      <c r="C821" s="5">
        <f t="shared" si="24"/>
        <v>46054</v>
      </c>
      <c r="D821" s="3" t="s">
        <v>16</v>
      </c>
      <c r="E821" s="2" t="s">
        <v>17</v>
      </c>
      <c r="F821" s="2" t="s">
        <v>18</v>
      </c>
      <c r="G821" s="2" t="s">
        <v>19</v>
      </c>
      <c r="H821" s="3" t="s">
        <v>20</v>
      </c>
      <c r="I821" s="6">
        <v>55</v>
      </c>
      <c r="J821" s="6">
        <v>63</v>
      </c>
      <c r="K821" s="7">
        <v>0.959504961906958</v>
      </c>
      <c r="L821" s="7">
        <v>0.94320096372392015</v>
      </c>
      <c r="M821" s="7">
        <v>0.92098833028907645</v>
      </c>
      <c r="N821" s="8">
        <v>36270</v>
      </c>
      <c r="O821" s="7">
        <f t="shared" si="25"/>
        <v>1.0237358692749612</v>
      </c>
    </row>
    <row r="822" spans="1:15">
      <c r="A822" s="3" t="s">
        <v>856</v>
      </c>
      <c r="B822" s="4">
        <v>46066</v>
      </c>
      <c r="C822" s="5">
        <f t="shared" si="24"/>
        <v>46054</v>
      </c>
      <c r="D822" s="3" t="s">
        <v>39</v>
      </c>
      <c r="E822" s="2" t="s">
        <v>40</v>
      </c>
      <c r="F822" s="2" t="s">
        <v>36</v>
      </c>
      <c r="G822" s="2" t="s">
        <v>37</v>
      </c>
      <c r="H822" s="3" t="s">
        <v>24</v>
      </c>
      <c r="I822" s="6">
        <v>45</v>
      </c>
      <c r="J822" s="6">
        <v>52</v>
      </c>
      <c r="K822" s="7">
        <v>0.91972573344694086</v>
      </c>
      <c r="L822" s="7">
        <v>0.98202387850510287</v>
      </c>
      <c r="M822" s="7">
        <v>0.92933505562587959</v>
      </c>
      <c r="N822" s="8">
        <v>25700</v>
      </c>
      <c r="O822" s="7">
        <f t="shared" si="25"/>
        <v>1.0253242484848988</v>
      </c>
    </row>
    <row r="823" spans="1:15">
      <c r="A823" s="3" t="s">
        <v>857</v>
      </c>
      <c r="B823" s="4">
        <v>46069</v>
      </c>
      <c r="C823" s="5">
        <f t="shared" si="24"/>
        <v>46054</v>
      </c>
      <c r="D823" s="3" t="s">
        <v>16</v>
      </c>
      <c r="E823" s="2" t="s">
        <v>17</v>
      </c>
      <c r="F823" s="2" t="s">
        <v>18</v>
      </c>
      <c r="G823" s="2" t="s">
        <v>19</v>
      </c>
      <c r="H823" s="3" t="s">
        <v>20</v>
      </c>
      <c r="I823" s="6">
        <v>48</v>
      </c>
      <c r="J823" s="6">
        <v>56</v>
      </c>
      <c r="K823" s="7">
        <v>0.95262646323986344</v>
      </c>
      <c r="L823" s="7">
        <v>0.98266948096915707</v>
      </c>
      <c r="M823" s="7">
        <v>0.95755913177803109</v>
      </c>
      <c r="N823" s="8">
        <v>28910</v>
      </c>
      <c r="O823" s="7">
        <f t="shared" si="25"/>
        <v>1.0437355309776124</v>
      </c>
    </row>
    <row r="824" spans="1:15">
      <c r="A824" s="3" t="s">
        <v>858</v>
      </c>
      <c r="B824" s="4">
        <v>46070</v>
      </c>
      <c r="C824" s="5">
        <f t="shared" si="24"/>
        <v>46054</v>
      </c>
      <c r="D824" s="3" t="s">
        <v>39</v>
      </c>
      <c r="E824" s="2" t="s">
        <v>40</v>
      </c>
      <c r="F824" s="2" t="s">
        <v>36</v>
      </c>
      <c r="G824" s="2" t="s">
        <v>37</v>
      </c>
      <c r="H824" s="3" t="s">
        <v>24</v>
      </c>
      <c r="I824" s="6">
        <v>29</v>
      </c>
      <c r="J824" s="6">
        <v>33</v>
      </c>
      <c r="K824" s="7">
        <v>0.99422282512893867</v>
      </c>
      <c r="L824" s="7">
        <v>0.99736570438720351</v>
      </c>
      <c r="M824" s="7">
        <v>0.95727398660502061</v>
      </c>
      <c r="N824" s="8">
        <v>16890</v>
      </c>
      <c r="O824" s="7">
        <f t="shared" si="25"/>
        <v>1.0447877730544228</v>
      </c>
    </row>
    <row r="825" spans="1:15">
      <c r="A825" s="3" t="s">
        <v>859</v>
      </c>
      <c r="B825" s="4">
        <v>46071</v>
      </c>
      <c r="C825" s="5">
        <f t="shared" si="24"/>
        <v>46054</v>
      </c>
      <c r="D825" s="3" t="s">
        <v>16</v>
      </c>
      <c r="E825" s="2" t="s">
        <v>17</v>
      </c>
      <c r="F825" s="2" t="s">
        <v>18</v>
      </c>
      <c r="G825" s="2" t="s">
        <v>19</v>
      </c>
      <c r="H825" s="3" t="s">
        <v>20</v>
      </c>
      <c r="I825" s="6">
        <v>40</v>
      </c>
      <c r="J825" s="6">
        <v>43</v>
      </c>
      <c r="K825" s="7">
        <v>0.995</v>
      </c>
      <c r="L825" s="7">
        <v>0.93990091689063826</v>
      </c>
      <c r="M825" s="7">
        <v>0.95424568850233038</v>
      </c>
      <c r="N825" s="8">
        <v>24720</v>
      </c>
      <c r="O825" s="7">
        <f t="shared" si="25"/>
        <v>1.0105842752340619</v>
      </c>
    </row>
    <row r="826" spans="1:15">
      <c r="A826" s="3" t="s">
        <v>860</v>
      </c>
      <c r="B826" s="4">
        <v>46072</v>
      </c>
      <c r="C826" s="5">
        <f t="shared" si="24"/>
        <v>46054</v>
      </c>
      <c r="D826" s="3" t="s">
        <v>34</v>
      </c>
      <c r="E826" s="2" t="s">
        <v>35</v>
      </c>
      <c r="F826" s="2" t="s">
        <v>36</v>
      </c>
      <c r="G826" s="2" t="s">
        <v>37</v>
      </c>
      <c r="H826" s="3" t="s">
        <v>20</v>
      </c>
      <c r="I826" s="6">
        <v>32</v>
      </c>
      <c r="J826" s="6">
        <v>31</v>
      </c>
      <c r="K826" s="7">
        <v>0.93599476339817667</v>
      </c>
      <c r="L826" s="7">
        <v>0.94145901865008152</v>
      </c>
      <c r="M826" s="7">
        <v>0.96148369906510789</v>
      </c>
      <c r="N826" s="8">
        <v>14570</v>
      </c>
      <c r="O826" s="7">
        <f t="shared" si="25"/>
        <v>0.95501428346007788</v>
      </c>
    </row>
    <row r="827" spans="1:15">
      <c r="A827" s="3" t="s">
        <v>861</v>
      </c>
      <c r="B827" s="4">
        <v>46073</v>
      </c>
      <c r="C827" s="5">
        <f t="shared" si="24"/>
        <v>46054</v>
      </c>
      <c r="D827" s="3" t="s">
        <v>16</v>
      </c>
      <c r="E827" s="2" t="s">
        <v>17</v>
      </c>
      <c r="F827" s="2" t="s">
        <v>18</v>
      </c>
      <c r="G827" s="2" t="s">
        <v>19</v>
      </c>
      <c r="H827" s="3" t="s">
        <v>20</v>
      </c>
      <c r="I827" s="6">
        <v>43</v>
      </c>
      <c r="J827" s="6">
        <v>52</v>
      </c>
      <c r="K827" s="7">
        <v>0.93190745954816245</v>
      </c>
      <c r="L827" s="7">
        <v>0.97669420970209642</v>
      </c>
      <c r="M827" s="7">
        <v>0.93105683494498626</v>
      </c>
      <c r="N827" s="8">
        <v>28010</v>
      </c>
      <c r="O827" s="7">
        <f t="shared" si="25"/>
        <v>1.0456923633313524</v>
      </c>
    </row>
    <row r="828" spans="1:15">
      <c r="A828" s="3" t="s">
        <v>862</v>
      </c>
      <c r="B828" s="4">
        <v>46073</v>
      </c>
      <c r="C828" s="5">
        <f t="shared" si="24"/>
        <v>46054</v>
      </c>
      <c r="D828" s="3" t="s">
        <v>34</v>
      </c>
      <c r="E828" s="2" t="s">
        <v>35</v>
      </c>
      <c r="F828" s="2" t="s">
        <v>36</v>
      </c>
      <c r="G828" s="2" t="s">
        <v>37</v>
      </c>
      <c r="H828" s="3" t="s">
        <v>20</v>
      </c>
      <c r="I828" s="6">
        <v>38</v>
      </c>
      <c r="J828" s="6">
        <v>40</v>
      </c>
      <c r="K828" s="7">
        <v>0.94865306507885061</v>
      </c>
      <c r="L828" s="7">
        <v>0.94954702280136627</v>
      </c>
      <c r="M828" s="7">
        <v>0.95920262254477284</v>
      </c>
      <c r="N828" s="8">
        <v>17360</v>
      </c>
      <c r="O828" s="7">
        <f t="shared" si="25"/>
        <v>0.99248847577781951</v>
      </c>
    </row>
    <row r="829" spans="1:15">
      <c r="A829" s="3" t="s">
        <v>863</v>
      </c>
      <c r="B829" s="4">
        <v>46073</v>
      </c>
      <c r="C829" s="5">
        <f t="shared" si="24"/>
        <v>46054</v>
      </c>
      <c r="D829" s="3" t="s">
        <v>34</v>
      </c>
      <c r="E829" s="2" t="s">
        <v>35</v>
      </c>
      <c r="F829" s="2" t="s">
        <v>36</v>
      </c>
      <c r="G829" s="2" t="s">
        <v>37</v>
      </c>
      <c r="H829" s="3" t="s">
        <v>20</v>
      </c>
      <c r="I829" s="6">
        <v>54</v>
      </c>
      <c r="J829" s="6">
        <v>51</v>
      </c>
      <c r="K829" s="7">
        <v>0.90499932244318615</v>
      </c>
      <c r="L829" s="7">
        <v>0.95287293595086897</v>
      </c>
      <c r="M829" s="7">
        <v>0.96691757609619322</v>
      </c>
      <c r="N829" s="8">
        <v>26330</v>
      </c>
      <c r="O829" s="7">
        <f t="shared" si="25"/>
        <v>0.94034206400044329</v>
      </c>
    </row>
    <row r="830" spans="1:15">
      <c r="A830" s="3" t="s">
        <v>864</v>
      </c>
      <c r="B830" s="4">
        <v>46073</v>
      </c>
      <c r="C830" s="5">
        <f t="shared" si="24"/>
        <v>46054</v>
      </c>
      <c r="D830" s="3" t="s">
        <v>34</v>
      </c>
      <c r="E830" s="2" t="s">
        <v>35</v>
      </c>
      <c r="F830" s="2" t="s">
        <v>36</v>
      </c>
      <c r="G830" s="2" t="s">
        <v>37</v>
      </c>
      <c r="H830" s="3" t="s">
        <v>20</v>
      </c>
      <c r="I830" s="6">
        <v>44</v>
      </c>
      <c r="J830" s="6">
        <v>44</v>
      </c>
      <c r="K830" s="7">
        <v>0.95141214785868011</v>
      </c>
      <c r="L830" s="7">
        <v>0.95467730972654741</v>
      </c>
      <c r="M830" s="7">
        <v>0.93582614171200873</v>
      </c>
      <c r="N830" s="8">
        <v>22000</v>
      </c>
      <c r="O830" s="7">
        <f t="shared" si="25"/>
        <v>0.9682198617660539</v>
      </c>
    </row>
    <row r="831" spans="1:15">
      <c r="A831" s="3" t="s">
        <v>865</v>
      </c>
      <c r="B831" s="4">
        <v>46073</v>
      </c>
      <c r="C831" s="5">
        <f t="shared" si="24"/>
        <v>46054</v>
      </c>
      <c r="D831" s="3" t="s">
        <v>39</v>
      </c>
      <c r="E831" s="2" t="s">
        <v>40</v>
      </c>
      <c r="F831" s="2" t="s">
        <v>36</v>
      </c>
      <c r="G831" s="2" t="s">
        <v>37</v>
      </c>
      <c r="H831" s="3" t="s">
        <v>24</v>
      </c>
      <c r="I831" s="6">
        <v>49</v>
      </c>
      <c r="J831" s="6">
        <v>57</v>
      </c>
      <c r="K831" s="7">
        <v>0.93449644339783433</v>
      </c>
      <c r="L831" s="7">
        <v>0.9809191312800809</v>
      </c>
      <c r="M831" s="7">
        <v>0.95329926583846736</v>
      </c>
      <c r="N831" s="8">
        <v>27660</v>
      </c>
      <c r="O831" s="7">
        <f t="shared" si="25"/>
        <v>1.0367279561581437</v>
      </c>
    </row>
    <row r="832" spans="1:15">
      <c r="A832" s="3" t="s">
        <v>866</v>
      </c>
      <c r="B832" s="4">
        <v>46076</v>
      </c>
      <c r="C832" s="5">
        <f t="shared" si="24"/>
        <v>46054</v>
      </c>
      <c r="D832" s="3" t="s">
        <v>26</v>
      </c>
      <c r="E832" s="2" t="s">
        <v>27</v>
      </c>
      <c r="F832" s="2" t="s">
        <v>28</v>
      </c>
      <c r="G832" s="2" t="s">
        <v>29</v>
      </c>
      <c r="H832" s="3" t="s">
        <v>20</v>
      </c>
      <c r="I832" s="6">
        <v>45</v>
      </c>
      <c r="J832" s="6">
        <v>45</v>
      </c>
      <c r="K832" s="7">
        <v>0.92083666902095829</v>
      </c>
      <c r="L832" s="7">
        <v>0.93661139335260535</v>
      </c>
      <c r="M832" s="7">
        <v>0.90277962868152262</v>
      </c>
      <c r="N832" s="8">
        <v>16070</v>
      </c>
      <c r="O832" s="7">
        <f t="shared" si="25"/>
        <v>0.95125680199443485</v>
      </c>
    </row>
    <row r="833" spans="1:15">
      <c r="A833" s="3" t="s">
        <v>867</v>
      </c>
      <c r="B833" s="4">
        <v>46077</v>
      </c>
      <c r="C833" s="5">
        <f t="shared" si="24"/>
        <v>46054</v>
      </c>
      <c r="D833" s="3" t="s">
        <v>16</v>
      </c>
      <c r="E833" s="2" t="s">
        <v>17</v>
      </c>
      <c r="F833" s="2" t="s">
        <v>18</v>
      </c>
      <c r="G833" s="2" t="s">
        <v>19</v>
      </c>
      <c r="H833" s="3" t="s">
        <v>20</v>
      </c>
      <c r="I833" s="6">
        <v>46</v>
      </c>
      <c r="J833" s="6">
        <v>56</v>
      </c>
      <c r="K833" s="7">
        <v>0.94386661812752592</v>
      </c>
      <c r="L833" s="7">
        <v>0.99128606058074076</v>
      </c>
      <c r="M833" s="7">
        <v>0.95323904401718307</v>
      </c>
      <c r="N833" s="8">
        <v>30250</v>
      </c>
      <c r="O833" s="7">
        <f t="shared" si="25"/>
        <v>1.0553073724224291</v>
      </c>
    </row>
    <row r="834" spans="1:15">
      <c r="A834" s="3" t="s">
        <v>868</v>
      </c>
      <c r="B834" s="4">
        <v>46077</v>
      </c>
      <c r="C834" s="5">
        <f t="shared" ref="C834:C897" si="26">DATE(YEAR(B834),MONTH(B834),1)</f>
        <v>46054</v>
      </c>
      <c r="D834" s="3" t="s">
        <v>22</v>
      </c>
      <c r="E834" s="2" t="s">
        <v>23</v>
      </c>
      <c r="F834" s="2" t="s">
        <v>18</v>
      </c>
      <c r="G834" s="2" t="s">
        <v>19</v>
      </c>
      <c r="H834" s="3" t="s">
        <v>24</v>
      </c>
      <c r="I834" s="6">
        <v>49</v>
      </c>
      <c r="J834" s="6">
        <v>49</v>
      </c>
      <c r="K834" s="7">
        <v>0.91173420652276205</v>
      </c>
      <c r="L834" s="7">
        <v>0.98072579468371635</v>
      </c>
      <c r="M834" s="7">
        <v>0.97175157150717995</v>
      </c>
      <c r="N834" s="8">
        <v>23790</v>
      </c>
      <c r="O834" s="7">
        <f t="shared" ref="O834:O897" si="27">MIN(J834/I834,1.2)*40%+K834*25%+L834*15%+M834*20%</f>
        <v>0.96939273513468405</v>
      </c>
    </row>
    <row r="835" spans="1:15">
      <c r="A835" s="3" t="s">
        <v>869</v>
      </c>
      <c r="B835" s="4">
        <v>46077</v>
      </c>
      <c r="C835" s="5">
        <f t="shared" si="26"/>
        <v>46054</v>
      </c>
      <c r="D835" s="3" t="s">
        <v>43</v>
      </c>
      <c r="E835" s="2" t="s">
        <v>44</v>
      </c>
      <c r="F835" s="2" t="s">
        <v>28</v>
      </c>
      <c r="G835" s="2" t="s">
        <v>29</v>
      </c>
      <c r="H835" s="3" t="s">
        <v>45</v>
      </c>
      <c r="I835" s="6">
        <v>36</v>
      </c>
      <c r="J835" s="6">
        <v>39</v>
      </c>
      <c r="K835" s="7">
        <v>0.96387793099739538</v>
      </c>
      <c r="L835" s="7">
        <v>0.99583196910521532</v>
      </c>
      <c r="M835" s="7">
        <v>0.88707567822255406</v>
      </c>
      <c r="N835" s="8">
        <v>18490</v>
      </c>
      <c r="O835" s="7">
        <f t="shared" si="27"/>
        <v>1.0010927470929754</v>
      </c>
    </row>
    <row r="836" spans="1:15">
      <c r="A836" s="3" t="s">
        <v>870</v>
      </c>
      <c r="B836" s="4">
        <v>46077</v>
      </c>
      <c r="C836" s="5">
        <f t="shared" si="26"/>
        <v>46054</v>
      </c>
      <c r="D836" s="3" t="s">
        <v>34</v>
      </c>
      <c r="E836" s="2" t="s">
        <v>35</v>
      </c>
      <c r="F836" s="2" t="s">
        <v>36</v>
      </c>
      <c r="G836" s="2" t="s">
        <v>37</v>
      </c>
      <c r="H836" s="3" t="s">
        <v>20</v>
      </c>
      <c r="I836" s="6">
        <v>49</v>
      </c>
      <c r="J836" s="6">
        <v>57</v>
      </c>
      <c r="K836" s="7">
        <v>0.93711036444324025</v>
      </c>
      <c r="L836" s="7">
        <v>0.94533093730107809</v>
      </c>
      <c r="M836" s="7">
        <v>0.91074317005392214</v>
      </c>
      <c r="N836" s="8">
        <v>22910</v>
      </c>
      <c r="O836" s="7">
        <f t="shared" si="27"/>
        <v>1.0235319881657359</v>
      </c>
    </row>
    <row r="837" spans="1:15">
      <c r="A837" s="3" t="s">
        <v>871</v>
      </c>
      <c r="B837" s="4">
        <v>46078</v>
      </c>
      <c r="C837" s="5">
        <f t="shared" si="26"/>
        <v>46054</v>
      </c>
      <c r="D837" s="3" t="s">
        <v>34</v>
      </c>
      <c r="E837" s="2" t="s">
        <v>35</v>
      </c>
      <c r="F837" s="2" t="s">
        <v>36</v>
      </c>
      <c r="G837" s="2" t="s">
        <v>37</v>
      </c>
      <c r="H837" s="3" t="s">
        <v>20</v>
      </c>
      <c r="I837" s="6">
        <v>39</v>
      </c>
      <c r="J837" s="6">
        <v>38</v>
      </c>
      <c r="K837" s="7">
        <v>0.92607608220541016</v>
      </c>
      <c r="L837" s="7">
        <v>0.98649769236397966</v>
      </c>
      <c r="M837" s="7">
        <v>0.97001167668603538</v>
      </c>
      <c r="N837" s="8">
        <v>18940</v>
      </c>
      <c r="O837" s="7">
        <f t="shared" si="27"/>
        <v>0.96323959948674642</v>
      </c>
    </row>
    <row r="838" spans="1:15">
      <c r="A838" s="3" t="s">
        <v>872</v>
      </c>
      <c r="B838" s="4">
        <v>46080</v>
      </c>
      <c r="C838" s="5">
        <f t="shared" si="26"/>
        <v>46054</v>
      </c>
      <c r="D838" s="3" t="s">
        <v>16</v>
      </c>
      <c r="E838" s="2" t="s">
        <v>17</v>
      </c>
      <c r="F838" s="2" t="s">
        <v>18</v>
      </c>
      <c r="G838" s="2" t="s">
        <v>19</v>
      </c>
      <c r="H838" s="3" t="s">
        <v>20</v>
      </c>
      <c r="I838" s="6">
        <v>46</v>
      </c>
      <c r="J838" s="6">
        <v>51</v>
      </c>
      <c r="K838" s="7">
        <v>0.94239853023592646</v>
      </c>
      <c r="L838" s="7">
        <v>0.98724790831523968</v>
      </c>
      <c r="M838" s="7">
        <v>0.9059048108153287</v>
      </c>
      <c r="N838" s="8">
        <v>29190</v>
      </c>
      <c r="O838" s="7">
        <f t="shared" si="27"/>
        <v>1.0083460418388985</v>
      </c>
    </row>
    <row r="839" spans="1:15">
      <c r="A839" s="3" t="s">
        <v>873</v>
      </c>
      <c r="B839" s="4">
        <v>46080</v>
      </c>
      <c r="C839" s="5">
        <f t="shared" si="26"/>
        <v>46054</v>
      </c>
      <c r="D839" s="3" t="s">
        <v>22</v>
      </c>
      <c r="E839" s="2" t="s">
        <v>23</v>
      </c>
      <c r="F839" s="2" t="s">
        <v>18</v>
      </c>
      <c r="G839" s="2" t="s">
        <v>19</v>
      </c>
      <c r="H839" s="3" t="s">
        <v>24</v>
      </c>
      <c r="I839" s="6">
        <v>52</v>
      </c>
      <c r="J839" s="6">
        <v>52</v>
      </c>
      <c r="K839" s="7">
        <v>0.93735821120386309</v>
      </c>
      <c r="L839" s="7">
        <v>0.98787730892468006</v>
      </c>
      <c r="M839" s="7">
        <v>0.97097543420058186</v>
      </c>
      <c r="N839" s="8">
        <v>27960</v>
      </c>
      <c r="O839" s="7">
        <f t="shared" si="27"/>
        <v>0.97671623597978408</v>
      </c>
    </row>
    <row r="840" spans="1:15">
      <c r="A840" s="3" t="s">
        <v>874</v>
      </c>
      <c r="B840" s="4">
        <v>46080</v>
      </c>
      <c r="C840" s="5">
        <f t="shared" si="26"/>
        <v>46054</v>
      </c>
      <c r="D840" s="3" t="s">
        <v>39</v>
      </c>
      <c r="E840" s="2" t="s">
        <v>40</v>
      </c>
      <c r="F840" s="2" t="s">
        <v>36</v>
      </c>
      <c r="G840" s="2" t="s">
        <v>37</v>
      </c>
      <c r="H840" s="3" t="s">
        <v>24</v>
      </c>
      <c r="I840" s="6">
        <v>35</v>
      </c>
      <c r="J840" s="6">
        <v>39</v>
      </c>
      <c r="K840" s="7">
        <v>0.91540207713557176</v>
      </c>
      <c r="L840" s="7">
        <v>1</v>
      </c>
      <c r="M840" s="7">
        <v>0.95341057167123611</v>
      </c>
      <c r="N840" s="8">
        <v>19450</v>
      </c>
      <c r="O840" s="7">
        <f t="shared" si="27"/>
        <v>1.0152469193324261</v>
      </c>
    </row>
    <row r="841" spans="1:15">
      <c r="A841" s="3" t="s">
        <v>875</v>
      </c>
      <c r="B841" s="4">
        <v>46083</v>
      </c>
      <c r="C841" s="5">
        <f t="shared" si="26"/>
        <v>46082</v>
      </c>
      <c r="D841" s="3" t="s">
        <v>16</v>
      </c>
      <c r="E841" s="2" t="s">
        <v>17</v>
      </c>
      <c r="F841" s="2" t="s">
        <v>18</v>
      </c>
      <c r="G841" s="2" t="s">
        <v>19</v>
      </c>
      <c r="H841" s="3" t="s">
        <v>20</v>
      </c>
      <c r="I841" s="6">
        <v>52</v>
      </c>
      <c r="J841" s="6">
        <v>61</v>
      </c>
      <c r="K841" s="7">
        <v>0.99463897953827551</v>
      </c>
      <c r="L841" s="7">
        <v>0.97088842057090752</v>
      </c>
      <c r="M841" s="7">
        <v>0.90979549940419679</v>
      </c>
      <c r="N841" s="8">
        <v>30700</v>
      </c>
      <c r="O841" s="7">
        <f t="shared" si="27"/>
        <v>1.0454828770818136</v>
      </c>
    </row>
    <row r="842" spans="1:15">
      <c r="A842" s="3" t="s">
        <v>876</v>
      </c>
      <c r="B842" s="4">
        <v>46083</v>
      </c>
      <c r="C842" s="5">
        <f t="shared" si="26"/>
        <v>46082</v>
      </c>
      <c r="D842" s="3" t="s">
        <v>16</v>
      </c>
      <c r="E842" s="2" t="s">
        <v>17</v>
      </c>
      <c r="F842" s="2" t="s">
        <v>18</v>
      </c>
      <c r="G842" s="2" t="s">
        <v>19</v>
      </c>
      <c r="H842" s="3" t="s">
        <v>20</v>
      </c>
      <c r="I842" s="6">
        <v>49</v>
      </c>
      <c r="J842" s="6">
        <v>54</v>
      </c>
      <c r="K842" s="7">
        <v>0.9033616336690421</v>
      </c>
      <c r="L842" s="7">
        <v>0.9599413735184229</v>
      </c>
      <c r="M842" s="7">
        <v>0.92059369153672299</v>
      </c>
      <c r="N842" s="8">
        <v>29610</v>
      </c>
      <c r="O842" s="7">
        <f t="shared" si="27"/>
        <v>0.99476667928298079</v>
      </c>
    </row>
    <row r="843" spans="1:15">
      <c r="A843" s="3" t="s">
        <v>877</v>
      </c>
      <c r="B843" s="4">
        <v>46083</v>
      </c>
      <c r="C843" s="5">
        <f t="shared" si="26"/>
        <v>46082</v>
      </c>
      <c r="D843" s="3" t="s">
        <v>22</v>
      </c>
      <c r="E843" s="2" t="s">
        <v>23</v>
      </c>
      <c r="F843" s="2" t="s">
        <v>18</v>
      </c>
      <c r="G843" s="2" t="s">
        <v>19</v>
      </c>
      <c r="H843" s="3" t="s">
        <v>24</v>
      </c>
      <c r="I843" s="6">
        <v>37</v>
      </c>
      <c r="J843" s="6">
        <v>44</v>
      </c>
      <c r="K843" s="7">
        <v>0.91950668399532454</v>
      </c>
      <c r="L843" s="7">
        <v>0.97176429321479585</v>
      </c>
      <c r="M843" s="7">
        <v>0.93035626761464674</v>
      </c>
      <c r="N843" s="8">
        <v>24060</v>
      </c>
      <c r="O843" s="7">
        <f t="shared" si="27"/>
        <v>1.0373882441796556</v>
      </c>
    </row>
    <row r="844" spans="1:15">
      <c r="A844" s="3" t="s">
        <v>878</v>
      </c>
      <c r="B844" s="4">
        <v>46083</v>
      </c>
      <c r="C844" s="5">
        <f t="shared" si="26"/>
        <v>46082</v>
      </c>
      <c r="D844" s="3" t="s">
        <v>39</v>
      </c>
      <c r="E844" s="2" t="s">
        <v>40</v>
      </c>
      <c r="F844" s="2" t="s">
        <v>36</v>
      </c>
      <c r="G844" s="2" t="s">
        <v>37</v>
      </c>
      <c r="H844" s="3" t="s">
        <v>24</v>
      </c>
      <c r="I844" s="6">
        <v>52</v>
      </c>
      <c r="J844" s="6">
        <v>54</v>
      </c>
      <c r="K844" s="7">
        <v>0.96494495984970818</v>
      </c>
      <c r="L844" s="7">
        <v>0.96724311552132713</v>
      </c>
      <c r="M844" s="7">
        <v>0.96059376669709839</v>
      </c>
      <c r="N844" s="8">
        <v>26470</v>
      </c>
      <c r="O844" s="7">
        <f t="shared" si="27"/>
        <v>0.99382607601466133</v>
      </c>
    </row>
    <row r="845" spans="1:15">
      <c r="A845" s="3" t="s">
        <v>879</v>
      </c>
      <c r="B845" s="4">
        <v>46085</v>
      </c>
      <c r="C845" s="5">
        <f t="shared" si="26"/>
        <v>46082</v>
      </c>
      <c r="D845" s="3" t="s">
        <v>43</v>
      </c>
      <c r="E845" s="2" t="s">
        <v>44</v>
      </c>
      <c r="F845" s="2" t="s">
        <v>28</v>
      </c>
      <c r="G845" s="2" t="s">
        <v>29</v>
      </c>
      <c r="H845" s="3" t="s">
        <v>45</v>
      </c>
      <c r="I845" s="6">
        <v>41</v>
      </c>
      <c r="J845" s="6">
        <v>40</v>
      </c>
      <c r="K845" s="7">
        <v>0.90689749040536938</v>
      </c>
      <c r="L845" s="7">
        <v>0.97979682388511946</v>
      </c>
      <c r="M845" s="7">
        <v>0.90440146840499702</v>
      </c>
      <c r="N845" s="8">
        <v>16610</v>
      </c>
      <c r="O845" s="7">
        <f t="shared" si="27"/>
        <v>0.94481809230413416</v>
      </c>
    </row>
    <row r="846" spans="1:15">
      <c r="A846" s="3" t="s">
        <v>880</v>
      </c>
      <c r="B846" s="4">
        <v>46085</v>
      </c>
      <c r="C846" s="5">
        <f t="shared" si="26"/>
        <v>46082</v>
      </c>
      <c r="D846" s="3" t="s">
        <v>39</v>
      </c>
      <c r="E846" s="2" t="s">
        <v>40</v>
      </c>
      <c r="F846" s="2" t="s">
        <v>36</v>
      </c>
      <c r="G846" s="2" t="s">
        <v>37</v>
      </c>
      <c r="H846" s="3" t="s">
        <v>24</v>
      </c>
      <c r="I846" s="6">
        <v>51</v>
      </c>
      <c r="J846" s="6">
        <v>56</v>
      </c>
      <c r="K846" s="7">
        <v>0.96738167971857569</v>
      </c>
      <c r="L846" s="7">
        <v>0.96481552003176785</v>
      </c>
      <c r="M846" s="7">
        <v>0.95025699119584406</v>
      </c>
      <c r="N846" s="8">
        <v>30440</v>
      </c>
      <c r="O846" s="7">
        <f t="shared" si="27"/>
        <v>1.0158348324480877</v>
      </c>
    </row>
    <row r="847" spans="1:15">
      <c r="A847" s="3" t="s">
        <v>881</v>
      </c>
      <c r="B847" s="4">
        <v>46086</v>
      </c>
      <c r="C847" s="5">
        <f t="shared" si="26"/>
        <v>46082</v>
      </c>
      <c r="D847" s="3" t="s">
        <v>34</v>
      </c>
      <c r="E847" s="2" t="s">
        <v>35</v>
      </c>
      <c r="F847" s="2" t="s">
        <v>36</v>
      </c>
      <c r="G847" s="2" t="s">
        <v>37</v>
      </c>
      <c r="H847" s="3" t="s">
        <v>20</v>
      </c>
      <c r="I847" s="6">
        <v>29</v>
      </c>
      <c r="J847" s="6">
        <v>26</v>
      </c>
      <c r="K847" s="7">
        <v>0.90482980307048222</v>
      </c>
      <c r="L847" s="7">
        <v>0.95664569536303279</v>
      </c>
      <c r="M847" s="7">
        <v>0.91344207727907878</v>
      </c>
      <c r="N847" s="8">
        <v>13380</v>
      </c>
      <c r="O847" s="7">
        <f t="shared" si="27"/>
        <v>0.91101341018306381</v>
      </c>
    </row>
    <row r="848" spans="1:15">
      <c r="A848" s="3" t="s">
        <v>882</v>
      </c>
      <c r="B848" s="4">
        <v>46087</v>
      </c>
      <c r="C848" s="5">
        <f t="shared" si="26"/>
        <v>46082</v>
      </c>
      <c r="D848" s="3" t="s">
        <v>22</v>
      </c>
      <c r="E848" s="2" t="s">
        <v>23</v>
      </c>
      <c r="F848" s="2" t="s">
        <v>18</v>
      </c>
      <c r="G848" s="2" t="s">
        <v>19</v>
      </c>
      <c r="H848" s="3" t="s">
        <v>24</v>
      </c>
      <c r="I848" s="6">
        <v>30</v>
      </c>
      <c r="J848" s="6">
        <v>31</v>
      </c>
      <c r="K848" s="7">
        <v>0.89247016851935723</v>
      </c>
      <c r="L848" s="7">
        <v>0.97340902671007179</v>
      </c>
      <c r="M848" s="7">
        <v>0.94908062428433992</v>
      </c>
      <c r="N848" s="8">
        <v>17210</v>
      </c>
      <c r="O848" s="7">
        <f t="shared" si="27"/>
        <v>0.97227835432655141</v>
      </c>
    </row>
    <row r="849" spans="1:15">
      <c r="A849" s="3" t="s">
        <v>883</v>
      </c>
      <c r="B849" s="4">
        <v>46087</v>
      </c>
      <c r="C849" s="5">
        <f t="shared" si="26"/>
        <v>46082</v>
      </c>
      <c r="D849" s="3" t="s">
        <v>26</v>
      </c>
      <c r="E849" s="2" t="s">
        <v>27</v>
      </c>
      <c r="F849" s="2" t="s">
        <v>28</v>
      </c>
      <c r="G849" s="2" t="s">
        <v>29</v>
      </c>
      <c r="H849" s="3" t="s">
        <v>20</v>
      </c>
      <c r="I849" s="6">
        <v>50</v>
      </c>
      <c r="J849" s="6">
        <v>56</v>
      </c>
      <c r="K849" s="7">
        <v>0.91221227378347136</v>
      </c>
      <c r="L849" s="7">
        <v>0.95867675530640462</v>
      </c>
      <c r="M849" s="7">
        <v>0.8771194578088396</v>
      </c>
      <c r="N849" s="8">
        <v>23010</v>
      </c>
      <c r="O849" s="7">
        <f t="shared" si="27"/>
        <v>0.99527847330359653</v>
      </c>
    </row>
    <row r="850" spans="1:15">
      <c r="A850" s="3" t="s">
        <v>884</v>
      </c>
      <c r="B850" s="4">
        <v>46087</v>
      </c>
      <c r="C850" s="5">
        <f t="shared" si="26"/>
        <v>46082</v>
      </c>
      <c r="D850" s="3" t="s">
        <v>39</v>
      </c>
      <c r="E850" s="2" t="s">
        <v>40</v>
      </c>
      <c r="F850" s="2" t="s">
        <v>36</v>
      </c>
      <c r="G850" s="2" t="s">
        <v>37</v>
      </c>
      <c r="H850" s="3" t="s">
        <v>24</v>
      </c>
      <c r="I850" s="6">
        <v>31</v>
      </c>
      <c r="J850" s="6">
        <v>35</v>
      </c>
      <c r="K850" s="7">
        <v>0.97416883361809559</v>
      </c>
      <c r="L850" s="7">
        <v>0.97720426767307289</v>
      </c>
      <c r="M850" s="7">
        <v>0.91563290424514276</v>
      </c>
      <c r="N850" s="8">
        <v>16420</v>
      </c>
      <c r="O850" s="7">
        <f t="shared" si="27"/>
        <v>1.0248623326303199</v>
      </c>
    </row>
    <row r="851" spans="1:15">
      <c r="A851" s="3" t="s">
        <v>885</v>
      </c>
      <c r="B851" s="4">
        <v>46090</v>
      </c>
      <c r="C851" s="5">
        <f t="shared" si="26"/>
        <v>46082</v>
      </c>
      <c r="D851" s="3" t="s">
        <v>26</v>
      </c>
      <c r="E851" s="2" t="s">
        <v>27</v>
      </c>
      <c r="F851" s="2" t="s">
        <v>28</v>
      </c>
      <c r="G851" s="2" t="s">
        <v>29</v>
      </c>
      <c r="H851" s="3" t="s">
        <v>20</v>
      </c>
      <c r="I851" s="6">
        <v>52</v>
      </c>
      <c r="J851" s="6">
        <v>49</v>
      </c>
      <c r="K851" s="7">
        <v>0.89672713033181051</v>
      </c>
      <c r="L851" s="7">
        <v>0.96033250386705549</v>
      </c>
      <c r="M851" s="7">
        <v>0.91597362345689903</v>
      </c>
      <c r="N851" s="8">
        <v>19060</v>
      </c>
      <c r="O851" s="7">
        <f t="shared" si="27"/>
        <v>0.92834945977746774</v>
      </c>
    </row>
    <row r="852" spans="1:15">
      <c r="A852" s="3" t="s">
        <v>886</v>
      </c>
      <c r="B852" s="4">
        <v>46090</v>
      </c>
      <c r="C852" s="5">
        <f t="shared" si="26"/>
        <v>46082</v>
      </c>
      <c r="D852" s="3" t="s">
        <v>26</v>
      </c>
      <c r="E852" s="2" t="s">
        <v>27</v>
      </c>
      <c r="F852" s="2" t="s">
        <v>28</v>
      </c>
      <c r="G852" s="2" t="s">
        <v>29</v>
      </c>
      <c r="H852" s="3" t="s">
        <v>20</v>
      </c>
      <c r="I852" s="6">
        <v>31</v>
      </c>
      <c r="J852" s="6">
        <v>32</v>
      </c>
      <c r="K852" s="7">
        <v>0.85510144695797119</v>
      </c>
      <c r="L852" s="7">
        <v>0.97693080854889014</v>
      </c>
      <c r="M852" s="7">
        <v>0.8521302357467877</v>
      </c>
      <c r="N852" s="8">
        <v>11900</v>
      </c>
      <c r="O852" s="7">
        <f t="shared" si="27"/>
        <v>0.94364425597763546</v>
      </c>
    </row>
    <row r="853" spans="1:15">
      <c r="A853" s="3" t="s">
        <v>887</v>
      </c>
      <c r="B853" s="4">
        <v>46091</v>
      </c>
      <c r="C853" s="5">
        <f t="shared" si="26"/>
        <v>46082</v>
      </c>
      <c r="D853" s="3" t="s">
        <v>26</v>
      </c>
      <c r="E853" s="2" t="s">
        <v>27</v>
      </c>
      <c r="F853" s="2" t="s">
        <v>28</v>
      </c>
      <c r="G853" s="2" t="s">
        <v>29</v>
      </c>
      <c r="H853" s="3" t="s">
        <v>20</v>
      </c>
      <c r="I853" s="6">
        <v>55</v>
      </c>
      <c r="J853" s="6">
        <v>53</v>
      </c>
      <c r="K853" s="7">
        <v>0.95588791313674482</v>
      </c>
      <c r="L853" s="7">
        <v>0.95058987445218857</v>
      </c>
      <c r="M853" s="7">
        <v>0.88346858824365804</v>
      </c>
      <c r="N853" s="8">
        <v>23030</v>
      </c>
      <c r="O853" s="7">
        <f t="shared" si="27"/>
        <v>0.94370872255529159</v>
      </c>
    </row>
    <row r="854" spans="1:15">
      <c r="A854" s="3" t="s">
        <v>888</v>
      </c>
      <c r="B854" s="4">
        <v>46094</v>
      </c>
      <c r="C854" s="5">
        <f t="shared" si="26"/>
        <v>46082</v>
      </c>
      <c r="D854" s="3" t="s">
        <v>16</v>
      </c>
      <c r="E854" s="2" t="s">
        <v>17</v>
      </c>
      <c r="F854" s="2" t="s">
        <v>18</v>
      </c>
      <c r="G854" s="2" t="s">
        <v>19</v>
      </c>
      <c r="H854" s="3" t="s">
        <v>20</v>
      </c>
      <c r="I854" s="6">
        <v>50</v>
      </c>
      <c r="J854" s="6">
        <v>55</v>
      </c>
      <c r="K854" s="7">
        <v>0.96016513215855281</v>
      </c>
      <c r="L854" s="7">
        <v>0.97273049221589347</v>
      </c>
      <c r="M854" s="7">
        <v>0.93928315522839756</v>
      </c>
      <c r="N854" s="8">
        <v>31780</v>
      </c>
      <c r="O854" s="7">
        <f t="shared" si="27"/>
        <v>1.0138074879177017</v>
      </c>
    </row>
    <row r="855" spans="1:15">
      <c r="A855" s="3" t="s">
        <v>889</v>
      </c>
      <c r="B855" s="4">
        <v>46098</v>
      </c>
      <c r="C855" s="5">
        <f t="shared" si="26"/>
        <v>46082</v>
      </c>
      <c r="D855" s="3" t="s">
        <v>16</v>
      </c>
      <c r="E855" s="2" t="s">
        <v>17</v>
      </c>
      <c r="F855" s="2" t="s">
        <v>18</v>
      </c>
      <c r="G855" s="2" t="s">
        <v>19</v>
      </c>
      <c r="H855" s="3" t="s">
        <v>20</v>
      </c>
      <c r="I855" s="6">
        <v>43</v>
      </c>
      <c r="J855" s="6">
        <v>50</v>
      </c>
      <c r="K855" s="7">
        <v>0.9824257554205067</v>
      </c>
      <c r="L855" s="7">
        <v>0.98034189117005577</v>
      </c>
      <c r="M855" s="7">
        <v>0.91394980992989383</v>
      </c>
      <c r="N855" s="8">
        <v>25370</v>
      </c>
      <c r="O855" s="7">
        <f t="shared" si="27"/>
        <v>1.0405639635863813</v>
      </c>
    </row>
    <row r="856" spans="1:15">
      <c r="A856" s="3" t="s">
        <v>890</v>
      </c>
      <c r="B856" s="4">
        <v>46098</v>
      </c>
      <c r="C856" s="5">
        <f t="shared" si="26"/>
        <v>46082</v>
      </c>
      <c r="D856" s="3" t="s">
        <v>16</v>
      </c>
      <c r="E856" s="2" t="s">
        <v>17</v>
      </c>
      <c r="F856" s="2" t="s">
        <v>18</v>
      </c>
      <c r="G856" s="2" t="s">
        <v>19</v>
      </c>
      <c r="H856" s="3" t="s">
        <v>20</v>
      </c>
      <c r="I856" s="6">
        <v>30</v>
      </c>
      <c r="J856" s="6">
        <v>31</v>
      </c>
      <c r="K856" s="7">
        <v>0.93925205212790164</v>
      </c>
      <c r="L856" s="7">
        <v>0.94404033236477147</v>
      </c>
      <c r="M856" s="7">
        <v>0.97600932243094563</v>
      </c>
      <c r="N856" s="8">
        <v>16000</v>
      </c>
      <c r="O856" s="7">
        <f t="shared" si="27"/>
        <v>0.98495426070621361</v>
      </c>
    </row>
    <row r="857" spans="1:15">
      <c r="A857" s="3" t="s">
        <v>891</v>
      </c>
      <c r="B857" s="4">
        <v>46099</v>
      </c>
      <c r="C857" s="5">
        <f t="shared" si="26"/>
        <v>46082</v>
      </c>
      <c r="D857" s="3" t="s">
        <v>26</v>
      </c>
      <c r="E857" s="2" t="s">
        <v>27</v>
      </c>
      <c r="F857" s="2" t="s">
        <v>28</v>
      </c>
      <c r="G857" s="2" t="s">
        <v>29</v>
      </c>
      <c r="H857" s="3" t="s">
        <v>20</v>
      </c>
      <c r="I857" s="6">
        <v>42</v>
      </c>
      <c r="J857" s="6">
        <v>44</v>
      </c>
      <c r="K857" s="7">
        <v>0.90910398001421866</v>
      </c>
      <c r="L857" s="7">
        <v>0.97676101233446511</v>
      </c>
      <c r="M857" s="7">
        <v>0.933513517235805</v>
      </c>
      <c r="N857" s="8">
        <v>16770</v>
      </c>
      <c r="O857" s="7">
        <f t="shared" si="27"/>
        <v>0.97954046934850447</v>
      </c>
    </row>
    <row r="858" spans="1:15">
      <c r="A858" s="3" t="s">
        <v>892</v>
      </c>
      <c r="B858" s="4">
        <v>46100</v>
      </c>
      <c r="C858" s="5">
        <f t="shared" si="26"/>
        <v>46082</v>
      </c>
      <c r="D858" s="3" t="s">
        <v>34</v>
      </c>
      <c r="E858" s="2" t="s">
        <v>35</v>
      </c>
      <c r="F858" s="2" t="s">
        <v>36</v>
      </c>
      <c r="G858" s="2" t="s">
        <v>37</v>
      </c>
      <c r="H858" s="3" t="s">
        <v>20</v>
      </c>
      <c r="I858" s="6">
        <v>35</v>
      </c>
      <c r="J858" s="6">
        <v>36</v>
      </c>
      <c r="K858" s="7">
        <v>0.93456276746254385</v>
      </c>
      <c r="L858" s="7">
        <v>0.96426796849390939</v>
      </c>
      <c r="M858" s="7">
        <v>0.91001267870514335</v>
      </c>
      <c r="N858" s="8">
        <v>17070</v>
      </c>
      <c r="O858" s="7">
        <f t="shared" si="27"/>
        <v>0.97171199430932242</v>
      </c>
    </row>
    <row r="859" spans="1:15">
      <c r="A859" s="3" t="s">
        <v>893</v>
      </c>
      <c r="B859" s="4">
        <v>46100</v>
      </c>
      <c r="C859" s="5">
        <f t="shared" si="26"/>
        <v>46082</v>
      </c>
      <c r="D859" s="3" t="s">
        <v>34</v>
      </c>
      <c r="E859" s="2" t="s">
        <v>35</v>
      </c>
      <c r="F859" s="2" t="s">
        <v>36</v>
      </c>
      <c r="G859" s="2" t="s">
        <v>37</v>
      </c>
      <c r="H859" s="3" t="s">
        <v>20</v>
      </c>
      <c r="I859" s="6">
        <v>37</v>
      </c>
      <c r="J859" s="6">
        <v>39</v>
      </c>
      <c r="K859" s="7">
        <v>0.9512542222869228</v>
      </c>
      <c r="L859" s="7">
        <v>0.91240034745492282</v>
      </c>
      <c r="M859" s="7">
        <v>0.9470919805302751</v>
      </c>
      <c r="N859" s="8">
        <v>19360</v>
      </c>
      <c r="O859" s="7">
        <f t="shared" si="27"/>
        <v>0.98571362541764584</v>
      </c>
    </row>
    <row r="860" spans="1:15">
      <c r="A860" s="3" t="s">
        <v>894</v>
      </c>
      <c r="B860" s="4">
        <v>46101</v>
      </c>
      <c r="C860" s="5">
        <f t="shared" si="26"/>
        <v>46082</v>
      </c>
      <c r="D860" s="3" t="s">
        <v>43</v>
      </c>
      <c r="E860" s="2" t="s">
        <v>44</v>
      </c>
      <c r="F860" s="2" t="s">
        <v>28</v>
      </c>
      <c r="G860" s="2" t="s">
        <v>29</v>
      </c>
      <c r="H860" s="3" t="s">
        <v>45</v>
      </c>
      <c r="I860" s="6">
        <v>54</v>
      </c>
      <c r="J860" s="6">
        <v>57</v>
      </c>
      <c r="K860" s="7">
        <v>0.94243251637909697</v>
      </c>
      <c r="L860" s="7">
        <v>0.98912410281589591</v>
      </c>
      <c r="M860" s="7">
        <v>0.91692492684932836</v>
      </c>
      <c r="N860" s="8">
        <v>27010</v>
      </c>
      <c r="O860" s="7">
        <f t="shared" si="27"/>
        <v>0.98958395210924666</v>
      </c>
    </row>
    <row r="861" spans="1:15">
      <c r="A861" s="3" t="s">
        <v>895</v>
      </c>
      <c r="B861" s="4">
        <v>46101</v>
      </c>
      <c r="C861" s="5">
        <f t="shared" si="26"/>
        <v>46082</v>
      </c>
      <c r="D861" s="3" t="s">
        <v>43</v>
      </c>
      <c r="E861" s="2" t="s">
        <v>44</v>
      </c>
      <c r="F861" s="2" t="s">
        <v>28</v>
      </c>
      <c r="G861" s="2" t="s">
        <v>29</v>
      </c>
      <c r="H861" s="3" t="s">
        <v>45</v>
      </c>
      <c r="I861" s="6">
        <v>33</v>
      </c>
      <c r="J861" s="6">
        <v>39</v>
      </c>
      <c r="K861" s="7">
        <v>0.96990994596439628</v>
      </c>
      <c r="L861" s="7">
        <v>0.95425304669081679</v>
      </c>
      <c r="M861" s="7">
        <v>0.94682325794708988</v>
      </c>
      <c r="N861" s="8">
        <v>16600</v>
      </c>
      <c r="O861" s="7">
        <f t="shared" si="27"/>
        <v>1.0477073678114124</v>
      </c>
    </row>
    <row r="862" spans="1:15">
      <c r="A862" s="3" t="s">
        <v>896</v>
      </c>
      <c r="B862" s="4">
        <v>46101</v>
      </c>
      <c r="C862" s="5">
        <f t="shared" si="26"/>
        <v>46082</v>
      </c>
      <c r="D862" s="3" t="s">
        <v>39</v>
      </c>
      <c r="E862" s="2" t="s">
        <v>40</v>
      </c>
      <c r="F862" s="2" t="s">
        <v>36</v>
      </c>
      <c r="G862" s="2" t="s">
        <v>37</v>
      </c>
      <c r="H862" s="3" t="s">
        <v>24</v>
      </c>
      <c r="I862" s="6">
        <v>33</v>
      </c>
      <c r="J862" s="6">
        <v>38</v>
      </c>
      <c r="K862" s="7">
        <v>0.97304277426231744</v>
      </c>
      <c r="L862" s="7">
        <v>0.99723022754208834</v>
      </c>
      <c r="M862" s="7">
        <v>0.9427668401431275</v>
      </c>
      <c r="N862" s="8">
        <v>17160</v>
      </c>
      <c r="O862" s="7">
        <f t="shared" si="27"/>
        <v>1.0420046563315788</v>
      </c>
    </row>
    <row r="863" spans="1:15">
      <c r="A863" s="3" t="s">
        <v>897</v>
      </c>
      <c r="B863" s="4">
        <v>46104</v>
      </c>
      <c r="C863" s="5">
        <f t="shared" si="26"/>
        <v>46082</v>
      </c>
      <c r="D863" s="3" t="s">
        <v>34</v>
      </c>
      <c r="E863" s="2" t="s">
        <v>35</v>
      </c>
      <c r="F863" s="2" t="s">
        <v>36</v>
      </c>
      <c r="G863" s="2" t="s">
        <v>37</v>
      </c>
      <c r="H863" s="3" t="s">
        <v>20</v>
      </c>
      <c r="I863" s="6">
        <v>34</v>
      </c>
      <c r="J863" s="6">
        <v>35</v>
      </c>
      <c r="K863" s="7">
        <v>0.90078132810695044</v>
      </c>
      <c r="L863" s="7">
        <v>0.95532680936474601</v>
      </c>
      <c r="M863" s="7">
        <v>0.95176773642926527</v>
      </c>
      <c r="N863" s="8">
        <v>14580</v>
      </c>
      <c r="O863" s="7">
        <f t="shared" si="27"/>
        <v>0.97061260659965543</v>
      </c>
    </row>
    <row r="864" spans="1:15">
      <c r="A864" s="3" t="s">
        <v>898</v>
      </c>
      <c r="B864" s="4">
        <v>46107</v>
      </c>
      <c r="C864" s="5">
        <f t="shared" si="26"/>
        <v>46082</v>
      </c>
      <c r="D864" s="3" t="s">
        <v>34</v>
      </c>
      <c r="E864" s="2" t="s">
        <v>35</v>
      </c>
      <c r="F864" s="2" t="s">
        <v>36</v>
      </c>
      <c r="G864" s="2" t="s">
        <v>37</v>
      </c>
      <c r="H864" s="3" t="s">
        <v>20</v>
      </c>
      <c r="I864" s="6">
        <v>29</v>
      </c>
      <c r="J864" s="6">
        <v>29</v>
      </c>
      <c r="K864" s="7">
        <v>0.95752596169741644</v>
      </c>
      <c r="L864" s="7">
        <v>0.97351647965941845</v>
      </c>
      <c r="M864" s="7">
        <v>0.96633213325791167</v>
      </c>
      <c r="N864" s="8">
        <v>13680</v>
      </c>
      <c r="O864" s="7">
        <f t="shared" si="27"/>
        <v>0.97867538902484918</v>
      </c>
    </row>
    <row r="865" spans="1:15">
      <c r="A865" s="3" t="s">
        <v>899</v>
      </c>
      <c r="B865" s="4">
        <v>46108</v>
      </c>
      <c r="C865" s="5">
        <f t="shared" si="26"/>
        <v>46082</v>
      </c>
      <c r="D865" s="3" t="s">
        <v>16</v>
      </c>
      <c r="E865" s="2" t="s">
        <v>17</v>
      </c>
      <c r="F865" s="2" t="s">
        <v>18</v>
      </c>
      <c r="G865" s="2" t="s">
        <v>19</v>
      </c>
      <c r="H865" s="3" t="s">
        <v>20</v>
      </c>
      <c r="I865" s="6">
        <v>46</v>
      </c>
      <c r="J865" s="6">
        <v>50</v>
      </c>
      <c r="K865" s="7">
        <v>0.888194930634849</v>
      </c>
      <c r="L865" s="7">
        <v>0.96535345542252715</v>
      </c>
      <c r="M865" s="7">
        <v>0.94118598941576082</v>
      </c>
      <c r="N865" s="8">
        <v>28450</v>
      </c>
      <c r="O865" s="7">
        <f t="shared" si="27"/>
        <v>0.98987155755089562</v>
      </c>
    </row>
    <row r="866" spans="1:15">
      <c r="A866" s="3" t="s">
        <v>900</v>
      </c>
      <c r="B866" s="4">
        <v>46108</v>
      </c>
      <c r="C866" s="5">
        <f t="shared" si="26"/>
        <v>46082</v>
      </c>
      <c r="D866" s="3" t="s">
        <v>26</v>
      </c>
      <c r="E866" s="2" t="s">
        <v>27</v>
      </c>
      <c r="F866" s="2" t="s">
        <v>28</v>
      </c>
      <c r="G866" s="2" t="s">
        <v>29</v>
      </c>
      <c r="H866" s="3" t="s">
        <v>20</v>
      </c>
      <c r="I866" s="6">
        <v>40</v>
      </c>
      <c r="J866" s="6">
        <v>36</v>
      </c>
      <c r="K866" s="7">
        <v>0.94199711596082536</v>
      </c>
      <c r="L866" s="7">
        <v>0.95631024272582332</v>
      </c>
      <c r="M866" s="7">
        <v>0.87611363799325492</v>
      </c>
      <c r="N866" s="8">
        <v>14790</v>
      </c>
      <c r="O866" s="7">
        <f t="shared" si="27"/>
        <v>0.91416854299773087</v>
      </c>
    </row>
    <row r="867" spans="1:15">
      <c r="A867" s="3" t="s">
        <v>901</v>
      </c>
      <c r="B867" s="4">
        <v>46108</v>
      </c>
      <c r="C867" s="5">
        <f t="shared" si="26"/>
        <v>46082</v>
      </c>
      <c r="D867" s="3" t="s">
        <v>34</v>
      </c>
      <c r="E867" s="2" t="s">
        <v>35</v>
      </c>
      <c r="F867" s="2" t="s">
        <v>36</v>
      </c>
      <c r="G867" s="2" t="s">
        <v>37</v>
      </c>
      <c r="H867" s="3" t="s">
        <v>20</v>
      </c>
      <c r="I867" s="6">
        <v>44</v>
      </c>
      <c r="J867" s="6">
        <v>47</v>
      </c>
      <c r="K867" s="7">
        <v>0.9167281375380183</v>
      </c>
      <c r="L867" s="7">
        <v>0.96869373955995541</v>
      </c>
      <c r="M867" s="7">
        <v>0.94764614712122008</v>
      </c>
      <c r="N867" s="8">
        <v>24180</v>
      </c>
      <c r="O867" s="7">
        <f t="shared" si="27"/>
        <v>0.9912880520154691</v>
      </c>
    </row>
    <row r="868" spans="1:15">
      <c r="A868" s="3" t="s">
        <v>902</v>
      </c>
      <c r="B868" s="4">
        <v>46111</v>
      </c>
      <c r="C868" s="5">
        <f t="shared" si="26"/>
        <v>46082</v>
      </c>
      <c r="D868" s="3" t="s">
        <v>43</v>
      </c>
      <c r="E868" s="2" t="s">
        <v>44</v>
      </c>
      <c r="F868" s="2" t="s">
        <v>28</v>
      </c>
      <c r="G868" s="2" t="s">
        <v>29</v>
      </c>
      <c r="H868" s="3" t="s">
        <v>45</v>
      </c>
      <c r="I868" s="6">
        <v>38</v>
      </c>
      <c r="J868" s="6">
        <v>39</v>
      </c>
      <c r="K868" s="7">
        <v>0.96640954988979266</v>
      </c>
      <c r="L868" s="7">
        <v>0.95273538394473312</v>
      </c>
      <c r="M868" s="7">
        <v>0.91068240639212572</v>
      </c>
      <c r="N868" s="8">
        <v>15450</v>
      </c>
      <c r="O868" s="7">
        <f t="shared" si="27"/>
        <v>0.97717549213205701</v>
      </c>
    </row>
    <row r="869" spans="1:15">
      <c r="A869" s="3" t="s">
        <v>903</v>
      </c>
      <c r="B869" s="4">
        <v>46111</v>
      </c>
      <c r="C869" s="5">
        <f t="shared" si="26"/>
        <v>46082</v>
      </c>
      <c r="D869" s="3" t="s">
        <v>34</v>
      </c>
      <c r="E869" s="2" t="s">
        <v>35</v>
      </c>
      <c r="F869" s="2" t="s">
        <v>36</v>
      </c>
      <c r="G869" s="2" t="s">
        <v>37</v>
      </c>
      <c r="H869" s="3" t="s">
        <v>20</v>
      </c>
      <c r="I869" s="6">
        <v>47</v>
      </c>
      <c r="J869" s="6">
        <v>50</v>
      </c>
      <c r="K869" s="7">
        <v>0.89868591625292171</v>
      </c>
      <c r="L869" s="7">
        <v>0.95358674563654822</v>
      </c>
      <c r="M869" s="7">
        <v>0.98345109263277086</v>
      </c>
      <c r="N869" s="8">
        <v>24910</v>
      </c>
      <c r="O869" s="7">
        <f t="shared" si="27"/>
        <v>0.98993162432888393</v>
      </c>
    </row>
    <row r="870" spans="1:15">
      <c r="A870" s="3" t="s">
        <v>904</v>
      </c>
      <c r="B870" s="4">
        <v>46112</v>
      </c>
      <c r="C870" s="5">
        <f t="shared" si="26"/>
        <v>46082</v>
      </c>
      <c r="D870" s="3" t="s">
        <v>16</v>
      </c>
      <c r="E870" s="2" t="s">
        <v>17</v>
      </c>
      <c r="F870" s="2" t="s">
        <v>18</v>
      </c>
      <c r="G870" s="2" t="s">
        <v>19</v>
      </c>
      <c r="H870" s="3" t="s">
        <v>20</v>
      </c>
      <c r="I870" s="6">
        <v>42</v>
      </c>
      <c r="J870" s="6">
        <v>42</v>
      </c>
      <c r="K870" s="7">
        <v>0.87967450228659139</v>
      </c>
      <c r="L870" s="7">
        <v>0.93362500975321705</v>
      </c>
      <c r="M870" s="7">
        <v>0.89269224899587396</v>
      </c>
      <c r="N870" s="8">
        <v>26510</v>
      </c>
      <c r="O870" s="7">
        <f t="shared" si="27"/>
        <v>0.9385008268338052</v>
      </c>
    </row>
    <row r="871" spans="1:15">
      <c r="A871" s="3" t="s">
        <v>905</v>
      </c>
      <c r="B871" s="4">
        <v>46113</v>
      </c>
      <c r="C871" s="5">
        <f t="shared" si="26"/>
        <v>46113</v>
      </c>
      <c r="D871" s="3" t="s">
        <v>43</v>
      </c>
      <c r="E871" s="2" t="s">
        <v>44</v>
      </c>
      <c r="F871" s="2" t="s">
        <v>28</v>
      </c>
      <c r="G871" s="2" t="s">
        <v>29</v>
      </c>
      <c r="H871" s="3" t="s">
        <v>45</v>
      </c>
      <c r="I871" s="6">
        <v>45</v>
      </c>
      <c r="J871" s="6">
        <v>52</v>
      </c>
      <c r="K871" s="7">
        <v>0.881799529506336</v>
      </c>
      <c r="L871" s="7">
        <v>0.98338212430690819</v>
      </c>
      <c r="M871" s="7">
        <v>0.89504147336500561</v>
      </c>
      <c r="N871" s="8">
        <v>22020</v>
      </c>
      <c r="O871" s="7">
        <f t="shared" si="27"/>
        <v>1.0091877179178437</v>
      </c>
    </row>
    <row r="872" spans="1:15">
      <c r="A872" s="3" t="s">
        <v>906</v>
      </c>
      <c r="B872" s="4">
        <v>46114</v>
      </c>
      <c r="C872" s="5">
        <f t="shared" si="26"/>
        <v>46113</v>
      </c>
      <c r="D872" s="3" t="s">
        <v>34</v>
      </c>
      <c r="E872" s="2" t="s">
        <v>35</v>
      </c>
      <c r="F872" s="2" t="s">
        <v>36</v>
      </c>
      <c r="G872" s="2" t="s">
        <v>37</v>
      </c>
      <c r="H872" s="3" t="s">
        <v>20</v>
      </c>
      <c r="I872" s="6">
        <v>45</v>
      </c>
      <c r="J872" s="6">
        <v>51</v>
      </c>
      <c r="K872" s="7">
        <v>0.97201871929825356</v>
      </c>
      <c r="L872" s="7">
        <v>0.97661329514800044</v>
      </c>
      <c r="M872" s="7">
        <v>0.95092317762626599</v>
      </c>
      <c r="N872" s="8">
        <v>25050</v>
      </c>
      <c r="O872" s="7">
        <f t="shared" si="27"/>
        <v>1.0330146429553499</v>
      </c>
    </row>
    <row r="873" spans="1:15">
      <c r="A873" s="3" t="s">
        <v>907</v>
      </c>
      <c r="B873" s="4">
        <v>46115</v>
      </c>
      <c r="C873" s="5">
        <f t="shared" si="26"/>
        <v>46113</v>
      </c>
      <c r="D873" s="3" t="s">
        <v>22</v>
      </c>
      <c r="E873" s="2" t="s">
        <v>23</v>
      </c>
      <c r="F873" s="2" t="s">
        <v>18</v>
      </c>
      <c r="G873" s="2" t="s">
        <v>19</v>
      </c>
      <c r="H873" s="3" t="s">
        <v>24</v>
      </c>
      <c r="I873" s="6">
        <v>42</v>
      </c>
      <c r="J873" s="6">
        <v>48</v>
      </c>
      <c r="K873" s="7">
        <v>0.90235070361982306</v>
      </c>
      <c r="L873" s="7">
        <v>0.97062177779935488</v>
      </c>
      <c r="M873" s="7">
        <v>0.97441385023031801</v>
      </c>
      <c r="N873" s="8">
        <v>25440</v>
      </c>
      <c r="O873" s="7">
        <f t="shared" si="27"/>
        <v>1.0232065697637798</v>
      </c>
    </row>
    <row r="874" spans="1:15">
      <c r="A874" s="3" t="s">
        <v>908</v>
      </c>
      <c r="B874" s="4">
        <v>46115</v>
      </c>
      <c r="C874" s="5">
        <f t="shared" si="26"/>
        <v>46113</v>
      </c>
      <c r="D874" s="3" t="s">
        <v>26</v>
      </c>
      <c r="E874" s="2" t="s">
        <v>27</v>
      </c>
      <c r="F874" s="2" t="s">
        <v>28</v>
      </c>
      <c r="G874" s="2" t="s">
        <v>29</v>
      </c>
      <c r="H874" s="3" t="s">
        <v>20</v>
      </c>
      <c r="I874" s="6">
        <v>42</v>
      </c>
      <c r="J874" s="6">
        <v>45</v>
      </c>
      <c r="K874" s="7">
        <v>0.88782328969441471</v>
      </c>
      <c r="L874" s="7">
        <v>0.97250942126493845</v>
      </c>
      <c r="M874" s="7">
        <v>0.88307107855547384</v>
      </c>
      <c r="N874" s="8">
        <v>16180</v>
      </c>
      <c r="O874" s="7">
        <f t="shared" si="27"/>
        <v>0.97301787989586785</v>
      </c>
    </row>
    <row r="875" spans="1:15">
      <c r="A875" s="3" t="s">
        <v>909</v>
      </c>
      <c r="B875" s="4">
        <v>46115</v>
      </c>
      <c r="C875" s="5">
        <f t="shared" si="26"/>
        <v>46113</v>
      </c>
      <c r="D875" s="3" t="s">
        <v>43</v>
      </c>
      <c r="E875" s="2" t="s">
        <v>44</v>
      </c>
      <c r="F875" s="2" t="s">
        <v>28</v>
      </c>
      <c r="G875" s="2" t="s">
        <v>29</v>
      </c>
      <c r="H875" s="3" t="s">
        <v>45</v>
      </c>
      <c r="I875" s="6">
        <v>51</v>
      </c>
      <c r="J875" s="6">
        <v>53</v>
      </c>
      <c r="K875" s="7">
        <v>0.90182479115175707</v>
      </c>
      <c r="L875" s="7">
        <v>1</v>
      </c>
      <c r="M875" s="7">
        <v>0.92739228279242436</v>
      </c>
      <c r="N875" s="8">
        <v>24880</v>
      </c>
      <c r="O875" s="7">
        <f t="shared" si="27"/>
        <v>0.9766209288562282</v>
      </c>
    </row>
    <row r="876" spans="1:15">
      <c r="A876" s="3" t="s">
        <v>910</v>
      </c>
      <c r="B876" s="4">
        <v>46115</v>
      </c>
      <c r="C876" s="5">
        <f t="shared" si="26"/>
        <v>46113</v>
      </c>
      <c r="D876" s="3" t="s">
        <v>39</v>
      </c>
      <c r="E876" s="2" t="s">
        <v>40</v>
      </c>
      <c r="F876" s="2" t="s">
        <v>36</v>
      </c>
      <c r="G876" s="2" t="s">
        <v>37</v>
      </c>
      <c r="H876" s="3" t="s">
        <v>24</v>
      </c>
      <c r="I876" s="6">
        <v>50</v>
      </c>
      <c r="J876" s="6">
        <v>56</v>
      </c>
      <c r="K876" s="7">
        <v>0.96332560866732608</v>
      </c>
      <c r="L876" s="7">
        <v>0.98017610417222012</v>
      </c>
      <c r="M876" s="7">
        <v>0.995</v>
      </c>
      <c r="N876" s="8">
        <v>26820</v>
      </c>
      <c r="O876" s="7">
        <f t="shared" si="27"/>
        <v>1.0348578177926646</v>
      </c>
    </row>
    <row r="877" spans="1:15">
      <c r="A877" s="3" t="s">
        <v>911</v>
      </c>
      <c r="B877" s="4">
        <v>46118</v>
      </c>
      <c r="C877" s="5">
        <f t="shared" si="26"/>
        <v>46113</v>
      </c>
      <c r="D877" s="3" t="s">
        <v>26</v>
      </c>
      <c r="E877" s="2" t="s">
        <v>27</v>
      </c>
      <c r="F877" s="2" t="s">
        <v>28</v>
      </c>
      <c r="G877" s="2" t="s">
        <v>29</v>
      </c>
      <c r="H877" s="3" t="s">
        <v>20</v>
      </c>
      <c r="I877" s="6">
        <v>48</v>
      </c>
      <c r="J877" s="6">
        <v>42</v>
      </c>
      <c r="K877" s="7">
        <v>0.89753217651829198</v>
      </c>
      <c r="L877" s="7">
        <v>0.91072135974892954</v>
      </c>
      <c r="M877" s="7">
        <v>0.86895439554345477</v>
      </c>
      <c r="N877" s="8">
        <v>14990</v>
      </c>
      <c r="O877" s="7">
        <f t="shared" si="27"/>
        <v>0.88478212720060334</v>
      </c>
    </row>
    <row r="878" spans="1:15">
      <c r="A878" s="3" t="s">
        <v>912</v>
      </c>
      <c r="B878" s="4">
        <v>46118</v>
      </c>
      <c r="C878" s="5">
        <f t="shared" si="26"/>
        <v>46113</v>
      </c>
      <c r="D878" s="3" t="s">
        <v>26</v>
      </c>
      <c r="E878" s="2" t="s">
        <v>27</v>
      </c>
      <c r="F878" s="2" t="s">
        <v>28</v>
      </c>
      <c r="G878" s="2" t="s">
        <v>29</v>
      </c>
      <c r="H878" s="3" t="s">
        <v>20</v>
      </c>
      <c r="I878" s="6">
        <v>53</v>
      </c>
      <c r="J878" s="6">
        <v>53</v>
      </c>
      <c r="K878" s="7">
        <v>0.86624318103649633</v>
      </c>
      <c r="L878" s="7">
        <v>0.95699645808082423</v>
      </c>
      <c r="M878" s="7">
        <v>0.92713116389331984</v>
      </c>
      <c r="N878" s="8">
        <v>21190</v>
      </c>
      <c r="O878" s="7">
        <f t="shared" si="27"/>
        <v>0.94553649674991169</v>
      </c>
    </row>
    <row r="879" spans="1:15">
      <c r="A879" s="3" t="s">
        <v>913</v>
      </c>
      <c r="B879" s="4">
        <v>46119</v>
      </c>
      <c r="C879" s="5">
        <f t="shared" si="26"/>
        <v>46113</v>
      </c>
      <c r="D879" s="3" t="s">
        <v>26</v>
      </c>
      <c r="E879" s="2" t="s">
        <v>27</v>
      </c>
      <c r="F879" s="2" t="s">
        <v>28</v>
      </c>
      <c r="G879" s="2" t="s">
        <v>29</v>
      </c>
      <c r="H879" s="3" t="s">
        <v>20</v>
      </c>
      <c r="I879" s="6">
        <v>55</v>
      </c>
      <c r="J879" s="6">
        <v>56</v>
      </c>
      <c r="K879" s="7">
        <v>0.89532470865661062</v>
      </c>
      <c r="L879" s="7">
        <v>0.93704996558084286</v>
      </c>
      <c r="M879" s="7">
        <v>0.86249161865215784</v>
      </c>
      <c r="N879" s="8">
        <v>19450</v>
      </c>
      <c r="O879" s="7">
        <f t="shared" si="27"/>
        <v>0.94415972300443796</v>
      </c>
    </row>
    <row r="880" spans="1:15">
      <c r="A880" s="3" t="s">
        <v>914</v>
      </c>
      <c r="B880" s="4">
        <v>46119</v>
      </c>
      <c r="C880" s="5">
        <f t="shared" si="26"/>
        <v>46113</v>
      </c>
      <c r="D880" s="3" t="s">
        <v>39</v>
      </c>
      <c r="E880" s="2" t="s">
        <v>40</v>
      </c>
      <c r="F880" s="2" t="s">
        <v>36</v>
      </c>
      <c r="G880" s="2" t="s">
        <v>37</v>
      </c>
      <c r="H880" s="3" t="s">
        <v>24</v>
      </c>
      <c r="I880" s="6">
        <v>33</v>
      </c>
      <c r="J880" s="6">
        <v>39</v>
      </c>
      <c r="K880" s="7">
        <v>0.95210164612131587</v>
      </c>
      <c r="L880" s="7">
        <v>0.97702874154065178</v>
      </c>
      <c r="M880" s="7">
        <v>0.98714004928226151</v>
      </c>
      <c r="N880" s="8">
        <v>16950</v>
      </c>
      <c r="O880" s="7">
        <f t="shared" si="27"/>
        <v>1.0547350053451519</v>
      </c>
    </row>
    <row r="881" spans="1:15">
      <c r="A881" s="3" t="s">
        <v>915</v>
      </c>
      <c r="B881" s="4">
        <v>46120</v>
      </c>
      <c r="C881" s="5">
        <f t="shared" si="26"/>
        <v>46113</v>
      </c>
      <c r="D881" s="3" t="s">
        <v>43</v>
      </c>
      <c r="E881" s="2" t="s">
        <v>44</v>
      </c>
      <c r="F881" s="2" t="s">
        <v>28</v>
      </c>
      <c r="G881" s="2" t="s">
        <v>29</v>
      </c>
      <c r="H881" s="3" t="s">
        <v>45</v>
      </c>
      <c r="I881" s="6">
        <v>55</v>
      </c>
      <c r="J881" s="6">
        <v>67</v>
      </c>
      <c r="K881" s="7">
        <v>0.95610257396062481</v>
      </c>
      <c r="L881" s="7">
        <v>0.97474486311169872</v>
      </c>
      <c r="M881" s="7">
        <v>0.89667109105087284</v>
      </c>
      <c r="N881" s="8">
        <v>25700</v>
      </c>
      <c r="O881" s="7">
        <f t="shared" si="27"/>
        <v>1.0445715911670854</v>
      </c>
    </row>
    <row r="882" spans="1:15">
      <c r="A882" s="3" t="s">
        <v>916</v>
      </c>
      <c r="B882" s="4">
        <v>46120</v>
      </c>
      <c r="C882" s="5">
        <f t="shared" si="26"/>
        <v>46113</v>
      </c>
      <c r="D882" s="3" t="s">
        <v>34</v>
      </c>
      <c r="E882" s="2" t="s">
        <v>35</v>
      </c>
      <c r="F882" s="2" t="s">
        <v>36</v>
      </c>
      <c r="G882" s="2" t="s">
        <v>37</v>
      </c>
      <c r="H882" s="3" t="s">
        <v>20</v>
      </c>
      <c r="I882" s="6">
        <v>32</v>
      </c>
      <c r="J882" s="6">
        <v>37</v>
      </c>
      <c r="K882" s="7">
        <v>0.96073067671594659</v>
      </c>
      <c r="L882" s="7">
        <v>0.96332803404596068</v>
      </c>
      <c r="M882" s="7">
        <v>0.92712932093323319</v>
      </c>
      <c r="N882" s="8">
        <v>19180</v>
      </c>
      <c r="O882" s="7">
        <f t="shared" si="27"/>
        <v>1.0326077384725274</v>
      </c>
    </row>
    <row r="883" spans="1:15">
      <c r="A883" s="3" t="s">
        <v>917</v>
      </c>
      <c r="B883" s="4">
        <v>46122</v>
      </c>
      <c r="C883" s="5">
        <f t="shared" si="26"/>
        <v>46113</v>
      </c>
      <c r="D883" s="3" t="s">
        <v>43</v>
      </c>
      <c r="E883" s="2" t="s">
        <v>44</v>
      </c>
      <c r="F883" s="2" t="s">
        <v>28</v>
      </c>
      <c r="G883" s="2" t="s">
        <v>29</v>
      </c>
      <c r="H883" s="3" t="s">
        <v>45</v>
      </c>
      <c r="I883" s="6">
        <v>51</v>
      </c>
      <c r="J883" s="6">
        <v>52</v>
      </c>
      <c r="K883" s="7">
        <v>0.94207413485628888</v>
      </c>
      <c r="L883" s="7">
        <v>0.97378076962643589</v>
      </c>
      <c r="M883" s="7">
        <v>0.88293854669629146</v>
      </c>
      <c r="N883" s="8">
        <v>19970</v>
      </c>
      <c r="O883" s="7">
        <f t="shared" si="27"/>
        <v>0.96601649575219795</v>
      </c>
    </row>
    <row r="884" spans="1:15">
      <c r="A884" s="3" t="s">
        <v>918</v>
      </c>
      <c r="B884" s="4">
        <v>46126</v>
      </c>
      <c r="C884" s="5">
        <f t="shared" si="26"/>
        <v>46113</v>
      </c>
      <c r="D884" s="3" t="s">
        <v>39</v>
      </c>
      <c r="E884" s="2" t="s">
        <v>40</v>
      </c>
      <c r="F884" s="2" t="s">
        <v>36</v>
      </c>
      <c r="G884" s="2" t="s">
        <v>37</v>
      </c>
      <c r="H884" s="3" t="s">
        <v>24</v>
      </c>
      <c r="I884" s="6">
        <v>45</v>
      </c>
      <c r="J884" s="6">
        <v>50</v>
      </c>
      <c r="K884" s="7">
        <v>0.96542176660316592</v>
      </c>
      <c r="L884" s="7">
        <v>0.97108244364934293</v>
      </c>
      <c r="M884" s="7">
        <v>0.95232346242949917</v>
      </c>
      <c r="N884" s="8">
        <v>26560</v>
      </c>
      <c r="O884" s="7">
        <f t="shared" si="27"/>
        <v>1.0219269451285373</v>
      </c>
    </row>
    <row r="885" spans="1:15">
      <c r="A885" s="3" t="s">
        <v>919</v>
      </c>
      <c r="B885" s="4">
        <v>46127</v>
      </c>
      <c r="C885" s="5">
        <f t="shared" si="26"/>
        <v>46113</v>
      </c>
      <c r="D885" s="3" t="s">
        <v>22</v>
      </c>
      <c r="E885" s="2" t="s">
        <v>23</v>
      </c>
      <c r="F885" s="2" t="s">
        <v>18</v>
      </c>
      <c r="G885" s="2" t="s">
        <v>19</v>
      </c>
      <c r="H885" s="3" t="s">
        <v>24</v>
      </c>
      <c r="I885" s="6">
        <v>53</v>
      </c>
      <c r="J885" s="6">
        <v>57</v>
      </c>
      <c r="K885" s="7">
        <v>0.92007808899893684</v>
      </c>
      <c r="L885" s="7">
        <v>0.97266616888636193</v>
      </c>
      <c r="M885" s="7">
        <v>0.94956922400325916</v>
      </c>
      <c r="N885" s="8">
        <v>34480</v>
      </c>
      <c r="O885" s="7">
        <f t="shared" si="27"/>
        <v>0.99602197162862338</v>
      </c>
    </row>
    <row r="886" spans="1:15">
      <c r="A886" s="3" t="s">
        <v>920</v>
      </c>
      <c r="B886" s="4">
        <v>46128</v>
      </c>
      <c r="C886" s="5">
        <f t="shared" si="26"/>
        <v>46113</v>
      </c>
      <c r="D886" s="3" t="s">
        <v>43</v>
      </c>
      <c r="E886" s="2" t="s">
        <v>44</v>
      </c>
      <c r="F886" s="2" t="s">
        <v>28</v>
      </c>
      <c r="G886" s="2" t="s">
        <v>29</v>
      </c>
      <c r="H886" s="3" t="s">
        <v>45</v>
      </c>
      <c r="I886" s="6">
        <v>35</v>
      </c>
      <c r="J886" s="6">
        <v>39</v>
      </c>
      <c r="K886" s="7">
        <v>0.93566891133805785</v>
      </c>
      <c r="L886" s="7">
        <v>0.98266100895858743</v>
      </c>
      <c r="M886" s="7">
        <v>0.88367037481821897</v>
      </c>
      <c r="N886" s="8">
        <v>17380</v>
      </c>
      <c r="O886" s="7">
        <f t="shared" si="27"/>
        <v>1.0037647398562322</v>
      </c>
    </row>
    <row r="887" spans="1:15">
      <c r="A887" s="3" t="s">
        <v>921</v>
      </c>
      <c r="B887" s="4">
        <v>46129</v>
      </c>
      <c r="C887" s="5">
        <f t="shared" si="26"/>
        <v>46113</v>
      </c>
      <c r="D887" s="3" t="s">
        <v>34</v>
      </c>
      <c r="E887" s="2" t="s">
        <v>35</v>
      </c>
      <c r="F887" s="2" t="s">
        <v>36</v>
      </c>
      <c r="G887" s="2" t="s">
        <v>37</v>
      </c>
      <c r="H887" s="3" t="s">
        <v>20</v>
      </c>
      <c r="I887" s="6">
        <v>37</v>
      </c>
      <c r="J887" s="6">
        <v>42</v>
      </c>
      <c r="K887" s="7">
        <v>0.93761591141576162</v>
      </c>
      <c r="L887" s="7">
        <v>0.97506575880794077</v>
      </c>
      <c r="M887" s="7">
        <v>0.95900292412683641</v>
      </c>
      <c r="N887" s="8">
        <v>16960</v>
      </c>
      <c r="O887" s="7">
        <f t="shared" si="27"/>
        <v>1.0265184805545529</v>
      </c>
    </row>
    <row r="888" spans="1:15">
      <c r="A888" s="3" t="s">
        <v>922</v>
      </c>
      <c r="B888" s="4">
        <v>46132</v>
      </c>
      <c r="C888" s="5">
        <f t="shared" si="26"/>
        <v>46113</v>
      </c>
      <c r="D888" s="3" t="s">
        <v>43</v>
      </c>
      <c r="E888" s="2" t="s">
        <v>44</v>
      </c>
      <c r="F888" s="2" t="s">
        <v>28</v>
      </c>
      <c r="G888" s="2" t="s">
        <v>29</v>
      </c>
      <c r="H888" s="3" t="s">
        <v>45</v>
      </c>
      <c r="I888" s="6">
        <v>50</v>
      </c>
      <c r="J888" s="6">
        <v>58</v>
      </c>
      <c r="K888" s="7">
        <v>0.90244516317235968</v>
      </c>
      <c r="L888" s="7">
        <v>0.97293368216363318</v>
      </c>
      <c r="M888" s="7">
        <v>0.95313330836470933</v>
      </c>
      <c r="N888" s="8">
        <v>24770</v>
      </c>
      <c r="O888" s="7">
        <f t="shared" si="27"/>
        <v>1.0261780047905769</v>
      </c>
    </row>
    <row r="889" spans="1:15">
      <c r="A889" s="3" t="s">
        <v>923</v>
      </c>
      <c r="B889" s="4">
        <v>46133</v>
      </c>
      <c r="C889" s="5">
        <f t="shared" si="26"/>
        <v>46113</v>
      </c>
      <c r="D889" s="3" t="s">
        <v>39</v>
      </c>
      <c r="E889" s="2" t="s">
        <v>40</v>
      </c>
      <c r="F889" s="2" t="s">
        <v>36</v>
      </c>
      <c r="G889" s="2" t="s">
        <v>37</v>
      </c>
      <c r="H889" s="3" t="s">
        <v>24</v>
      </c>
      <c r="I889" s="6">
        <v>29</v>
      </c>
      <c r="J889" s="6">
        <v>34</v>
      </c>
      <c r="K889" s="7">
        <v>0.94050368016276176</v>
      </c>
      <c r="L889" s="7">
        <v>1</v>
      </c>
      <c r="M889" s="7">
        <v>0.99411285461682153</v>
      </c>
      <c r="N889" s="8">
        <v>16720</v>
      </c>
      <c r="O889" s="7">
        <f t="shared" si="27"/>
        <v>1.052914008205434</v>
      </c>
    </row>
    <row r="890" spans="1:15">
      <c r="A890" s="3" t="s">
        <v>924</v>
      </c>
      <c r="B890" s="4">
        <v>46136</v>
      </c>
      <c r="C890" s="5">
        <f t="shared" si="26"/>
        <v>46113</v>
      </c>
      <c r="D890" s="3" t="s">
        <v>26</v>
      </c>
      <c r="E890" s="2" t="s">
        <v>27</v>
      </c>
      <c r="F890" s="2" t="s">
        <v>28</v>
      </c>
      <c r="G890" s="2" t="s">
        <v>29</v>
      </c>
      <c r="H890" s="3" t="s">
        <v>20</v>
      </c>
      <c r="I890" s="6">
        <v>34</v>
      </c>
      <c r="J890" s="6">
        <v>35</v>
      </c>
      <c r="K890" s="7">
        <v>0.9086220636539184</v>
      </c>
      <c r="L890" s="7">
        <v>0.94718852553595501</v>
      </c>
      <c r="M890" s="7">
        <v>0.88393681797519985</v>
      </c>
      <c r="N890" s="8">
        <v>15300</v>
      </c>
      <c r="O890" s="7">
        <f t="shared" si="27"/>
        <v>0.95778586422126577</v>
      </c>
    </row>
    <row r="891" spans="1:15">
      <c r="A891" s="3" t="s">
        <v>925</v>
      </c>
      <c r="B891" s="4">
        <v>46139</v>
      </c>
      <c r="C891" s="5">
        <f t="shared" si="26"/>
        <v>46113</v>
      </c>
      <c r="D891" s="3" t="s">
        <v>34</v>
      </c>
      <c r="E891" s="2" t="s">
        <v>35</v>
      </c>
      <c r="F891" s="2" t="s">
        <v>36</v>
      </c>
      <c r="G891" s="2" t="s">
        <v>37</v>
      </c>
      <c r="H891" s="3" t="s">
        <v>20</v>
      </c>
      <c r="I891" s="6">
        <v>42</v>
      </c>
      <c r="J891" s="6">
        <v>39</v>
      </c>
      <c r="K891" s="7">
        <v>0.95837900578025992</v>
      </c>
      <c r="L891" s="7">
        <v>0.95403234832867856</v>
      </c>
      <c r="M891" s="7">
        <v>0.96159222287185653</v>
      </c>
      <c r="N891" s="8">
        <v>16900</v>
      </c>
      <c r="O891" s="7">
        <f t="shared" si="27"/>
        <v>0.94644661969730948</v>
      </c>
    </row>
    <row r="892" spans="1:15">
      <c r="A892" s="3" t="s">
        <v>926</v>
      </c>
      <c r="B892" s="4">
        <v>46140</v>
      </c>
      <c r="C892" s="5">
        <f t="shared" si="26"/>
        <v>46113</v>
      </c>
      <c r="D892" s="3" t="s">
        <v>22</v>
      </c>
      <c r="E892" s="2" t="s">
        <v>23</v>
      </c>
      <c r="F892" s="2" t="s">
        <v>18</v>
      </c>
      <c r="G892" s="2" t="s">
        <v>19</v>
      </c>
      <c r="H892" s="3" t="s">
        <v>24</v>
      </c>
      <c r="I892" s="6">
        <v>45</v>
      </c>
      <c r="J892" s="6">
        <v>49</v>
      </c>
      <c r="K892" s="7">
        <v>0.91473002877897236</v>
      </c>
      <c r="L892" s="7">
        <v>0.9494919843256262</v>
      </c>
      <c r="M892" s="7">
        <v>0.94630373077890295</v>
      </c>
      <c r="N892" s="8">
        <v>29680</v>
      </c>
      <c r="O892" s="7">
        <f t="shared" si="27"/>
        <v>0.99592260655492315</v>
      </c>
    </row>
    <row r="893" spans="1:15">
      <c r="A893" s="3" t="s">
        <v>927</v>
      </c>
      <c r="B893" s="4">
        <v>46143</v>
      </c>
      <c r="C893" s="5">
        <f t="shared" si="26"/>
        <v>46143</v>
      </c>
      <c r="D893" s="3" t="s">
        <v>16</v>
      </c>
      <c r="E893" s="2" t="s">
        <v>17</v>
      </c>
      <c r="F893" s="2" t="s">
        <v>18</v>
      </c>
      <c r="G893" s="2" t="s">
        <v>19</v>
      </c>
      <c r="H893" s="3" t="s">
        <v>20</v>
      </c>
      <c r="I893" s="6">
        <v>32</v>
      </c>
      <c r="J893" s="6">
        <v>36</v>
      </c>
      <c r="K893" s="7">
        <v>0.91628284538344396</v>
      </c>
      <c r="L893" s="7">
        <v>0.9407045429905716</v>
      </c>
      <c r="M893" s="7">
        <v>0.89108764861894829</v>
      </c>
      <c r="N893" s="8">
        <v>18020</v>
      </c>
      <c r="O893" s="7">
        <f t="shared" si="27"/>
        <v>0.99839392251823633</v>
      </c>
    </row>
    <row r="894" spans="1:15">
      <c r="A894" s="3" t="s">
        <v>928</v>
      </c>
      <c r="B894" s="4">
        <v>46143</v>
      </c>
      <c r="C894" s="5">
        <f t="shared" si="26"/>
        <v>46143</v>
      </c>
      <c r="D894" s="3" t="s">
        <v>16</v>
      </c>
      <c r="E894" s="2" t="s">
        <v>17</v>
      </c>
      <c r="F894" s="2" t="s">
        <v>18</v>
      </c>
      <c r="G894" s="2" t="s">
        <v>19</v>
      </c>
      <c r="H894" s="3" t="s">
        <v>20</v>
      </c>
      <c r="I894" s="6">
        <v>35</v>
      </c>
      <c r="J894" s="6">
        <v>35</v>
      </c>
      <c r="K894" s="7">
        <v>0.94453306297134909</v>
      </c>
      <c r="L894" s="7">
        <v>0.96447352064971548</v>
      </c>
      <c r="M894" s="7">
        <v>0.91089413010457154</v>
      </c>
      <c r="N894" s="8">
        <v>21880</v>
      </c>
      <c r="O894" s="7">
        <f t="shared" si="27"/>
        <v>0.96298311986120899</v>
      </c>
    </row>
    <row r="895" spans="1:15">
      <c r="A895" s="3" t="s">
        <v>929</v>
      </c>
      <c r="B895" s="4">
        <v>46143</v>
      </c>
      <c r="C895" s="5">
        <f t="shared" si="26"/>
        <v>46143</v>
      </c>
      <c r="D895" s="3" t="s">
        <v>26</v>
      </c>
      <c r="E895" s="2" t="s">
        <v>27</v>
      </c>
      <c r="F895" s="2" t="s">
        <v>28</v>
      </c>
      <c r="G895" s="2" t="s">
        <v>29</v>
      </c>
      <c r="H895" s="3" t="s">
        <v>20</v>
      </c>
      <c r="I895" s="6">
        <v>32</v>
      </c>
      <c r="J895" s="6">
        <v>28</v>
      </c>
      <c r="K895" s="7">
        <v>0.90477828976534602</v>
      </c>
      <c r="L895" s="7">
        <v>0.93563555134677978</v>
      </c>
      <c r="M895" s="7">
        <v>0.88879764549340845</v>
      </c>
      <c r="N895" s="8">
        <v>12170</v>
      </c>
      <c r="O895" s="7">
        <f t="shared" si="27"/>
        <v>0.89429943424203517</v>
      </c>
    </row>
    <row r="896" spans="1:15">
      <c r="A896" s="3" t="s">
        <v>930</v>
      </c>
      <c r="B896" s="4">
        <v>46143</v>
      </c>
      <c r="C896" s="5">
        <f t="shared" si="26"/>
        <v>46143</v>
      </c>
      <c r="D896" s="3" t="s">
        <v>34</v>
      </c>
      <c r="E896" s="2" t="s">
        <v>35</v>
      </c>
      <c r="F896" s="2" t="s">
        <v>36</v>
      </c>
      <c r="G896" s="2" t="s">
        <v>37</v>
      </c>
      <c r="H896" s="3" t="s">
        <v>20</v>
      </c>
      <c r="I896" s="6">
        <v>38</v>
      </c>
      <c r="J896" s="6">
        <v>42</v>
      </c>
      <c r="K896" s="7">
        <v>0.92097742867662558</v>
      </c>
      <c r="L896" s="7">
        <v>0.95521834024133634</v>
      </c>
      <c r="M896" s="7">
        <v>0.9411590996593886</v>
      </c>
      <c r="N896" s="8">
        <v>17510</v>
      </c>
      <c r="O896" s="7">
        <f t="shared" si="27"/>
        <v>1.0038641912951294</v>
      </c>
    </row>
    <row r="897" spans="1:15">
      <c r="A897" s="3" t="s">
        <v>931</v>
      </c>
      <c r="B897" s="4">
        <v>46146</v>
      </c>
      <c r="C897" s="5">
        <f t="shared" si="26"/>
        <v>46143</v>
      </c>
      <c r="D897" s="3" t="s">
        <v>22</v>
      </c>
      <c r="E897" s="2" t="s">
        <v>23</v>
      </c>
      <c r="F897" s="2" t="s">
        <v>18</v>
      </c>
      <c r="G897" s="2" t="s">
        <v>19</v>
      </c>
      <c r="H897" s="3" t="s">
        <v>24</v>
      </c>
      <c r="I897" s="6">
        <v>35</v>
      </c>
      <c r="J897" s="6">
        <v>38</v>
      </c>
      <c r="K897" s="7">
        <v>0.90430086268114807</v>
      </c>
      <c r="L897" s="7">
        <v>0.96164488260493297</v>
      </c>
      <c r="M897" s="7">
        <v>0.93658016144971235</v>
      </c>
      <c r="N897" s="8">
        <v>18650</v>
      </c>
      <c r="O897" s="7">
        <f t="shared" si="27"/>
        <v>0.99192369463668362</v>
      </c>
    </row>
    <row r="898" spans="1:15">
      <c r="A898" s="3" t="s">
        <v>932</v>
      </c>
      <c r="B898" s="4">
        <v>46146</v>
      </c>
      <c r="C898" s="5">
        <f t="shared" ref="C898:C961" si="28">DATE(YEAR(B898),MONTH(B898),1)</f>
        <v>46143</v>
      </c>
      <c r="D898" s="3" t="s">
        <v>26</v>
      </c>
      <c r="E898" s="2" t="s">
        <v>27</v>
      </c>
      <c r="F898" s="2" t="s">
        <v>28</v>
      </c>
      <c r="G898" s="2" t="s">
        <v>29</v>
      </c>
      <c r="H898" s="3" t="s">
        <v>20</v>
      </c>
      <c r="I898" s="6">
        <v>39</v>
      </c>
      <c r="J898" s="6">
        <v>40</v>
      </c>
      <c r="K898" s="7">
        <v>0.92437206593154886</v>
      </c>
      <c r="L898" s="7">
        <v>0.93653689652022076</v>
      </c>
      <c r="M898" s="7">
        <v>0.85317009474049543</v>
      </c>
      <c r="N898" s="8">
        <v>16790</v>
      </c>
      <c r="O898" s="7">
        <f t="shared" ref="O898:O961" si="29">MIN(J898/I898,1.2)*40%+K898*25%+L898*15%+M898*20%</f>
        <v>0.95246398016542955</v>
      </c>
    </row>
    <row r="899" spans="1:15">
      <c r="A899" s="3" t="s">
        <v>933</v>
      </c>
      <c r="B899" s="4">
        <v>46147</v>
      </c>
      <c r="C899" s="5">
        <f t="shared" si="28"/>
        <v>46143</v>
      </c>
      <c r="D899" s="3" t="s">
        <v>26</v>
      </c>
      <c r="E899" s="2" t="s">
        <v>27</v>
      </c>
      <c r="F899" s="2" t="s">
        <v>28</v>
      </c>
      <c r="G899" s="2" t="s">
        <v>29</v>
      </c>
      <c r="H899" s="3" t="s">
        <v>20</v>
      </c>
      <c r="I899" s="6">
        <v>30</v>
      </c>
      <c r="J899" s="6">
        <v>27</v>
      </c>
      <c r="K899" s="7">
        <v>0.90185485772039253</v>
      </c>
      <c r="L899" s="7">
        <v>0.96811468184785421</v>
      </c>
      <c r="M899" s="7">
        <v>0.87208830083465272</v>
      </c>
      <c r="N899" s="8">
        <v>10350</v>
      </c>
      <c r="O899" s="7">
        <f t="shared" si="29"/>
        <v>0.90509857687420681</v>
      </c>
    </row>
    <row r="900" spans="1:15">
      <c r="A900" s="3" t="s">
        <v>934</v>
      </c>
      <c r="B900" s="4">
        <v>46148</v>
      </c>
      <c r="C900" s="5">
        <f t="shared" si="28"/>
        <v>46143</v>
      </c>
      <c r="D900" s="3" t="s">
        <v>43</v>
      </c>
      <c r="E900" s="2" t="s">
        <v>44</v>
      </c>
      <c r="F900" s="2" t="s">
        <v>28</v>
      </c>
      <c r="G900" s="2" t="s">
        <v>29</v>
      </c>
      <c r="H900" s="3" t="s">
        <v>45</v>
      </c>
      <c r="I900" s="6">
        <v>43</v>
      </c>
      <c r="J900" s="6">
        <v>46</v>
      </c>
      <c r="K900" s="7">
        <v>0.95179954381906462</v>
      </c>
      <c r="L900" s="7">
        <v>0.96666509502435627</v>
      </c>
      <c r="M900" s="7">
        <v>0.91806156664577965</v>
      </c>
      <c r="N900" s="8">
        <v>17570</v>
      </c>
      <c r="O900" s="7">
        <f t="shared" si="29"/>
        <v>0.99446894028176158</v>
      </c>
    </row>
    <row r="901" spans="1:15">
      <c r="A901" s="3" t="s">
        <v>935</v>
      </c>
      <c r="B901" s="4">
        <v>46150</v>
      </c>
      <c r="C901" s="5">
        <f t="shared" si="28"/>
        <v>46143</v>
      </c>
      <c r="D901" s="3" t="s">
        <v>43</v>
      </c>
      <c r="E901" s="2" t="s">
        <v>44</v>
      </c>
      <c r="F901" s="2" t="s">
        <v>28</v>
      </c>
      <c r="G901" s="2" t="s">
        <v>29</v>
      </c>
      <c r="H901" s="3" t="s">
        <v>45</v>
      </c>
      <c r="I901" s="6">
        <v>55</v>
      </c>
      <c r="J901" s="6">
        <v>66</v>
      </c>
      <c r="K901" s="7">
        <v>0.97518671895832965</v>
      </c>
      <c r="L901" s="7">
        <v>0.98194323606544509</v>
      </c>
      <c r="M901" s="7">
        <v>0.92091710291751683</v>
      </c>
      <c r="N901" s="8">
        <v>25240</v>
      </c>
      <c r="O901" s="7">
        <f t="shared" si="29"/>
        <v>1.0552715857329025</v>
      </c>
    </row>
    <row r="902" spans="1:15">
      <c r="A902" s="3" t="s">
        <v>936</v>
      </c>
      <c r="B902" s="4">
        <v>46153</v>
      </c>
      <c r="C902" s="5">
        <f t="shared" si="28"/>
        <v>46143</v>
      </c>
      <c r="D902" s="3" t="s">
        <v>39</v>
      </c>
      <c r="E902" s="2" t="s">
        <v>40</v>
      </c>
      <c r="F902" s="2" t="s">
        <v>36</v>
      </c>
      <c r="G902" s="2" t="s">
        <v>37</v>
      </c>
      <c r="H902" s="3" t="s">
        <v>24</v>
      </c>
      <c r="I902" s="6">
        <v>47</v>
      </c>
      <c r="J902" s="6">
        <v>48</v>
      </c>
      <c r="K902" s="7">
        <v>0.995</v>
      </c>
      <c r="L902" s="7">
        <v>0.9622279321556122</v>
      </c>
      <c r="M902" s="7">
        <v>0.9805115210043247</v>
      </c>
      <c r="N902" s="8">
        <v>25350</v>
      </c>
      <c r="O902" s="7">
        <f t="shared" si="29"/>
        <v>0.99769713232207902</v>
      </c>
    </row>
    <row r="903" spans="1:15">
      <c r="A903" s="3" t="s">
        <v>937</v>
      </c>
      <c r="B903" s="4">
        <v>46156</v>
      </c>
      <c r="C903" s="5">
        <f t="shared" si="28"/>
        <v>46143</v>
      </c>
      <c r="D903" s="3" t="s">
        <v>22</v>
      </c>
      <c r="E903" s="2" t="s">
        <v>23</v>
      </c>
      <c r="F903" s="2" t="s">
        <v>18</v>
      </c>
      <c r="G903" s="2" t="s">
        <v>19</v>
      </c>
      <c r="H903" s="3" t="s">
        <v>24</v>
      </c>
      <c r="I903" s="6">
        <v>55</v>
      </c>
      <c r="J903" s="6">
        <v>57</v>
      </c>
      <c r="K903" s="7">
        <v>0.92914994914732829</v>
      </c>
      <c r="L903" s="7">
        <v>0.92562249274971486</v>
      </c>
      <c r="M903" s="7">
        <v>0.91879581614213512</v>
      </c>
      <c r="N903" s="8">
        <v>33910</v>
      </c>
      <c r="O903" s="7">
        <f t="shared" si="29"/>
        <v>0.96943547897317095</v>
      </c>
    </row>
    <row r="904" spans="1:15">
      <c r="A904" s="3" t="s">
        <v>938</v>
      </c>
      <c r="B904" s="4">
        <v>46156</v>
      </c>
      <c r="C904" s="5">
        <f t="shared" si="28"/>
        <v>46143</v>
      </c>
      <c r="D904" s="3" t="s">
        <v>22</v>
      </c>
      <c r="E904" s="2" t="s">
        <v>23</v>
      </c>
      <c r="F904" s="2" t="s">
        <v>18</v>
      </c>
      <c r="G904" s="2" t="s">
        <v>19</v>
      </c>
      <c r="H904" s="3" t="s">
        <v>24</v>
      </c>
      <c r="I904" s="6">
        <v>43</v>
      </c>
      <c r="J904" s="6">
        <v>43</v>
      </c>
      <c r="K904" s="7">
        <v>0.92467019604546008</v>
      </c>
      <c r="L904" s="7">
        <v>0.96530499109836343</v>
      </c>
      <c r="M904" s="7">
        <v>0.94579779844776746</v>
      </c>
      <c r="N904" s="8">
        <v>22970</v>
      </c>
      <c r="O904" s="7">
        <f t="shared" si="29"/>
        <v>0.96512285736567316</v>
      </c>
    </row>
    <row r="905" spans="1:15">
      <c r="A905" s="3" t="s">
        <v>939</v>
      </c>
      <c r="B905" s="4">
        <v>46157</v>
      </c>
      <c r="C905" s="5">
        <f t="shared" si="28"/>
        <v>46143</v>
      </c>
      <c r="D905" s="3" t="s">
        <v>26</v>
      </c>
      <c r="E905" s="2" t="s">
        <v>27</v>
      </c>
      <c r="F905" s="2" t="s">
        <v>28</v>
      </c>
      <c r="G905" s="2" t="s">
        <v>29</v>
      </c>
      <c r="H905" s="3" t="s">
        <v>20</v>
      </c>
      <c r="I905" s="6">
        <v>44</v>
      </c>
      <c r="J905" s="6">
        <v>49</v>
      </c>
      <c r="K905" s="7">
        <v>0.85563416351059951</v>
      </c>
      <c r="L905" s="7">
        <v>0.9199039522232475</v>
      </c>
      <c r="M905" s="7">
        <v>0.93595068120212321</v>
      </c>
      <c r="N905" s="8">
        <v>18910</v>
      </c>
      <c r="O905" s="7">
        <f t="shared" si="29"/>
        <v>0.9845388154061071</v>
      </c>
    </row>
    <row r="906" spans="1:15">
      <c r="A906" s="3" t="s">
        <v>940</v>
      </c>
      <c r="B906" s="4">
        <v>46157</v>
      </c>
      <c r="C906" s="5">
        <f t="shared" si="28"/>
        <v>46143</v>
      </c>
      <c r="D906" s="3" t="s">
        <v>43</v>
      </c>
      <c r="E906" s="2" t="s">
        <v>44</v>
      </c>
      <c r="F906" s="2" t="s">
        <v>28</v>
      </c>
      <c r="G906" s="2" t="s">
        <v>29</v>
      </c>
      <c r="H906" s="3" t="s">
        <v>45</v>
      </c>
      <c r="I906" s="6">
        <v>31</v>
      </c>
      <c r="J906" s="6">
        <v>32</v>
      </c>
      <c r="K906" s="7">
        <v>0.98021450797089626</v>
      </c>
      <c r="L906" s="7">
        <v>0.9909179720261555</v>
      </c>
      <c r="M906" s="7">
        <v>0.93441727035006517</v>
      </c>
      <c r="N906" s="8">
        <v>12560</v>
      </c>
      <c r="O906" s="7">
        <f t="shared" si="29"/>
        <v>0.99347800267311204</v>
      </c>
    </row>
    <row r="907" spans="1:15">
      <c r="A907" s="3" t="s">
        <v>941</v>
      </c>
      <c r="B907" s="4">
        <v>46160</v>
      </c>
      <c r="C907" s="5">
        <f t="shared" si="28"/>
        <v>46143</v>
      </c>
      <c r="D907" s="3" t="s">
        <v>22</v>
      </c>
      <c r="E907" s="2" t="s">
        <v>23</v>
      </c>
      <c r="F907" s="2" t="s">
        <v>18</v>
      </c>
      <c r="G907" s="2" t="s">
        <v>19</v>
      </c>
      <c r="H907" s="3" t="s">
        <v>24</v>
      </c>
      <c r="I907" s="6">
        <v>30</v>
      </c>
      <c r="J907" s="6">
        <v>30</v>
      </c>
      <c r="K907" s="7">
        <v>0.94750343657144454</v>
      </c>
      <c r="L907" s="7">
        <v>0.95321491815827653</v>
      </c>
      <c r="M907" s="7">
        <v>0.9898088545820819</v>
      </c>
      <c r="N907" s="8">
        <v>17140</v>
      </c>
      <c r="O907" s="7">
        <f t="shared" si="29"/>
        <v>0.9778198677830191</v>
      </c>
    </row>
    <row r="908" spans="1:15">
      <c r="A908" s="3" t="s">
        <v>942</v>
      </c>
      <c r="B908" s="4">
        <v>46161</v>
      </c>
      <c r="C908" s="5">
        <f t="shared" si="28"/>
        <v>46143</v>
      </c>
      <c r="D908" s="3" t="s">
        <v>43</v>
      </c>
      <c r="E908" s="2" t="s">
        <v>44</v>
      </c>
      <c r="F908" s="2" t="s">
        <v>28</v>
      </c>
      <c r="G908" s="2" t="s">
        <v>29</v>
      </c>
      <c r="H908" s="3" t="s">
        <v>45</v>
      </c>
      <c r="I908" s="6">
        <v>38</v>
      </c>
      <c r="J908" s="6">
        <v>39</v>
      </c>
      <c r="K908" s="7">
        <v>0.92433721131683222</v>
      </c>
      <c r="L908" s="7">
        <v>1</v>
      </c>
      <c r="M908" s="7">
        <v>0.98662315522176458</v>
      </c>
      <c r="N908" s="8">
        <v>15290</v>
      </c>
      <c r="O908" s="7">
        <f t="shared" si="29"/>
        <v>0.98893524966303481</v>
      </c>
    </row>
    <row r="909" spans="1:15">
      <c r="A909" s="3" t="s">
        <v>943</v>
      </c>
      <c r="B909" s="4">
        <v>46161</v>
      </c>
      <c r="C909" s="5">
        <f t="shared" si="28"/>
        <v>46143</v>
      </c>
      <c r="D909" s="3" t="s">
        <v>34</v>
      </c>
      <c r="E909" s="2" t="s">
        <v>35</v>
      </c>
      <c r="F909" s="2" t="s">
        <v>36</v>
      </c>
      <c r="G909" s="2" t="s">
        <v>37</v>
      </c>
      <c r="H909" s="3" t="s">
        <v>20</v>
      </c>
      <c r="I909" s="6">
        <v>40</v>
      </c>
      <c r="J909" s="6">
        <v>39</v>
      </c>
      <c r="K909" s="7">
        <v>0.90650530125729523</v>
      </c>
      <c r="L909" s="7">
        <v>0.93798824246415513</v>
      </c>
      <c r="M909" s="7">
        <v>0.96953710832857509</v>
      </c>
      <c r="N909" s="8">
        <v>19360</v>
      </c>
      <c r="O909" s="7">
        <f t="shared" si="29"/>
        <v>0.95123198334966208</v>
      </c>
    </row>
    <row r="910" spans="1:15">
      <c r="A910" s="3" t="s">
        <v>944</v>
      </c>
      <c r="B910" s="4">
        <v>46164</v>
      </c>
      <c r="C910" s="5">
        <f t="shared" si="28"/>
        <v>46143</v>
      </c>
      <c r="D910" s="3" t="s">
        <v>22</v>
      </c>
      <c r="E910" s="2" t="s">
        <v>23</v>
      </c>
      <c r="F910" s="2" t="s">
        <v>18</v>
      </c>
      <c r="G910" s="2" t="s">
        <v>19</v>
      </c>
      <c r="H910" s="3" t="s">
        <v>24</v>
      </c>
      <c r="I910" s="6">
        <v>49</v>
      </c>
      <c r="J910" s="6">
        <v>56</v>
      </c>
      <c r="K910" s="7">
        <v>0.91694824168261713</v>
      </c>
      <c r="L910" s="7">
        <v>0.96434860270787282</v>
      </c>
      <c r="M910" s="7">
        <v>0.95902243743060123</v>
      </c>
      <c r="N910" s="8">
        <v>32350</v>
      </c>
      <c r="O910" s="7">
        <f t="shared" si="29"/>
        <v>1.0228366954558126</v>
      </c>
    </row>
    <row r="911" spans="1:15">
      <c r="A911" s="3" t="s">
        <v>945</v>
      </c>
      <c r="B911" s="4">
        <v>46164</v>
      </c>
      <c r="C911" s="5">
        <f t="shared" si="28"/>
        <v>46143</v>
      </c>
      <c r="D911" s="3" t="s">
        <v>43</v>
      </c>
      <c r="E911" s="2" t="s">
        <v>44</v>
      </c>
      <c r="F911" s="2" t="s">
        <v>28</v>
      </c>
      <c r="G911" s="2" t="s">
        <v>29</v>
      </c>
      <c r="H911" s="3" t="s">
        <v>45</v>
      </c>
      <c r="I911" s="6">
        <v>40</v>
      </c>
      <c r="J911" s="6">
        <v>43</v>
      </c>
      <c r="K911" s="7">
        <v>0.96995360672912134</v>
      </c>
      <c r="L911" s="7">
        <v>0.99601555146705312</v>
      </c>
      <c r="M911" s="7">
        <v>0.94595200851666572</v>
      </c>
      <c r="N911" s="8">
        <v>16870</v>
      </c>
      <c r="O911" s="7">
        <f t="shared" si="29"/>
        <v>1.0110811361056715</v>
      </c>
    </row>
    <row r="912" spans="1:15">
      <c r="A912" s="3" t="s">
        <v>946</v>
      </c>
      <c r="B912" s="4">
        <v>46164</v>
      </c>
      <c r="C912" s="5">
        <f t="shared" si="28"/>
        <v>46143</v>
      </c>
      <c r="D912" s="3" t="s">
        <v>43</v>
      </c>
      <c r="E912" s="2" t="s">
        <v>44</v>
      </c>
      <c r="F912" s="2" t="s">
        <v>28</v>
      </c>
      <c r="G912" s="2" t="s">
        <v>29</v>
      </c>
      <c r="H912" s="3" t="s">
        <v>45</v>
      </c>
      <c r="I912" s="6">
        <v>30</v>
      </c>
      <c r="J912" s="6">
        <v>33</v>
      </c>
      <c r="K912" s="7">
        <v>0.95991348355070227</v>
      </c>
      <c r="L912" s="7">
        <v>1</v>
      </c>
      <c r="M912" s="7">
        <v>0.9005340420652943</v>
      </c>
      <c r="N912" s="8">
        <v>15310</v>
      </c>
      <c r="O912" s="7">
        <f t="shared" si="29"/>
        <v>1.0100851793007346</v>
      </c>
    </row>
    <row r="913" spans="1:15">
      <c r="A913" s="3" t="s">
        <v>947</v>
      </c>
      <c r="B913" s="4">
        <v>46164</v>
      </c>
      <c r="C913" s="5">
        <f t="shared" si="28"/>
        <v>46143</v>
      </c>
      <c r="D913" s="3" t="s">
        <v>43</v>
      </c>
      <c r="E913" s="2" t="s">
        <v>44</v>
      </c>
      <c r="F913" s="2" t="s">
        <v>28</v>
      </c>
      <c r="G913" s="2" t="s">
        <v>29</v>
      </c>
      <c r="H913" s="3" t="s">
        <v>45</v>
      </c>
      <c r="I913" s="6">
        <v>37</v>
      </c>
      <c r="J913" s="6">
        <v>45</v>
      </c>
      <c r="K913" s="7">
        <v>0.97503186421329113</v>
      </c>
      <c r="L913" s="7">
        <v>0.98072440199932764</v>
      </c>
      <c r="M913" s="7">
        <v>0.9197778184736195</v>
      </c>
      <c r="N913" s="8">
        <v>19350</v>
      </c>
      <c r="O913" s="7">
        <f t="shared" si="29"/>
        <v>1.0548221900479458</v>
      </c>
    </row>
    <row r="914" spans="1:15">
      <c r="A914" s="3" t="s">
        <v>948</v>
      </c>
      <c r="B914" s="4">
        <v>46167</v>
      </c>
      <c r="C914" s="5">
        <f t="shared" si="28"/>
        <v>46143</v>
      </c>
      <c r="D914" s="3" t="s">
        <v>22</v>
      </c>
      <c r="E914" s="2" t="s">
        <v>23</v>
      </c>
      <c r="F914" s="2" t="s">
        <v>18</v>
      </c>
      <c r="G914" s="2" t="s">
        <v>19</v>
      </c>
      <c r="H914" s="3" t="s">
        <v>24</v>
      </c>
      <c r="I914" s="6">
        <v>30</v>
      </c>
      <c r="J914" s="6">
        <v>29</v>
      </c>
      <c r="K914" s="7">
        <v>0.90483045879335544</v>
      </c>
      <c r="L914" s="7">
        <v>0.93774117838019444</v>
      </c>
      <c r="M914" s="7">
        <v>0.95796885834177881</v>
      </c>
      <c r="N914" s="8">
        <v>17280</v>
      </c>
      <c r="O914" s="7">
        <f t="shared" si="29"/>
        <v>0.94512922979039049</v>
      </c>
    </row>
    <row r="915" spans="1:15">
      <c r="A915" s="3" t="s">
        <v>949</v>
      </c>
      <c r="B915" s="4">
        <v>46169</v>
      </c>
      <c r="C915" s="5">
        <f t="shared" si="28"/>
        <v>46143</v>
      </c>
      <c r="D915" s="3" t="s">
        <v>22</v>
      </c>
      <c r="E915" s="2" t="s">
        <v>23</v>
      </c>
      <c r="F915" s="2" t="s">
        <v>18</v>
      </c>
      <c r="G915" s="2" t="s">
        <v>19</v>
      </c>
      <c r="H915" s="3" t="s">
        <v>24</v>
      </c>
      <c r="I915" s="6">
        <v>37</v>
      </c>
      <c r="J915" s="6">
        <v>41</v>
      </c>
      <c r="K915" s="7">
        <v>0.94648457906614547</v>
      </c>
      <c r="L915" s="7">
        <v>0.97442349841838005</v>
      </c>
      <c r="M915" s="7">
        <v>0.96383602480110153</v>
      </c>
      <c r="N915" s="8">
        <v>19810</v>
      </c>
      <c r="O915" s="7">
        <f t="shared" si="29"/>
        <v>1.018795117732757</v>
      </c>
    </row>
    <row r="916" spans="1:15">
      <c r="A916" s="3" t="s">
        <v>950</v>
      </c>
      <c r="B916" s="4">
        <v>46170</v>
      </c>
      <c r="C916" s="5">
        <f t="shared" si="28"/>
        <v>46143</v>
      </c>
      <c r="D916" s="3" t="s">
        <v>16</v>
      </c>
      <c r="E916" s="2" t="s">
        <v>17</v>
      </c>
      <c r="F916" s="2" t="s">
        <v>18</v>
      </c>
      <c r="G916" s="2" t="s">
        <v>19</v>
      </c>
      <c r="H916" s="3" t="s">
        <v>20</v>
      </c>
      <c r="I916" s="6">
        <v>31</v>
      </c>
      <c r="J916" s="6">
        <v>38</v>
      </c>
      <c r="K916" s="7">
        <v>0.91008726907239024</v>
      </c>
      <c r="L916" s="7">
        <v>0.97491112095285248</v>
      </c>
      <c r="M916" s="7">
        <v>0.9876331497837888</v>
      </c>
      <c r="N916" s="8">
        <v>22910</v>
      </c>
      <c r="O916" s="7">
        <f t="shared" si="29"/>
        <v>1.0512851153677831</v>
      </c>
    </row>
    <row r="917" spans="1:15">
      <c r="A917" s="3" t="s">
        <v>951</v>
      </c>
      <c r="B917" s="4">
        <v>46170</v>
      </c>
      <c r="C917" s="5">
        <f t="shared" si="28"/>
        <v>46143</v>
      </c>
      <c r="D917" s="3" t="s">
        <v>39</v>
      </c>
      <c r="E917" s="2" t="s">
        <v>40</v>
      </c>
      <c r="F917" s="2" t="s">
        <v>36</v>
      </c>
      <c r="G917" s="2" t="s">
        <v>37</v>
      </c>
      <c r="H917" s="3" t="s">
        <v>24</v>
      </c>
      <c r="I917" s="6">
        <v>36</v>
      </c>
      <c r="J917" s="6">
        <v>40</v>
      </c>
      <c r="K917" s="7">
        <v>0.9814775184338197</v>
      </c>
      <c r="L917" s="7">
        <v>1</v>
      </c>
      <c r="M917" s="7">
        <v>0.99278643770732578</v>
      </c>
      <c r="N917" s="8">
        <v>18860</v>
      </c>
      <c r="O917" s="7">
        <f t="shared" si="29"/>
        <v>1.0383711115943646</v>
      </c>
    </row>
    <row r="918" spans="1:15">
      <c r="A918" s="3" t="s">
        <v>952</v>
      </c>
      <c r="B918" s="4">
        <v>46171</v>
      </c>
      <c r="C918" s="5">
        <f t="shared" si="28"/>
        <v>46143</v>
      </c>
      <c r="D918" s="3" t="s">
        <v>22</v>
      </c>
      <c r="E918" s="2" t="s">
        <v>23</v>
      </c>
      <c r="F918" s="2" t="s">
        <v>18</v>
      </c>
      <c r="G918" s="2" t="s">
        <v>19</v>
      </c>
      <c r="H918" s="3" t="s">
        <v>24</v>
      </c>
      <c r="I918" s="6">
        <v>43</v>
      </c>
      <c r="J918" s="6">
        <v>46</v>
      </c>
      <c r="K918" s="7">
        <v>0.96987166637728106</v>
      </c>
      <c r="L918" s="7">
        <v>0.94511471461853513</v>
      </c>
      <c r="M918" s="7">
        <v>0.9556875142535719</v>
      </c>
      <c r="N918" s="8">
        <v>27640</v>
      </c>
      <c r="O918" s="7">
        <f t="shared" si="29"/>
        <v>1.0032796033820008</v>
      </c>
    </row>
    <row r="919" spans="1:15">
      <c r="A919" s="3" t="s">
        <v>953</v>
      </c>
      <c r="B919" s="4">
        <v>46171</v>
      </c>
      <c r="C919" s="5">
        <f t="shared" si="28"/>
        <v>46143</v>
      </c>
      <c r="D919" s="3" t="s">
        <v>22</v>
      </c>
      <c r="E919" s="2" t="s">
        <v>23</v>
      </c>
      <c r="F919" s="2" t="s">
        <v>18</v>
      </c>
      <c r="G919" s="2" t="s">
        <v>19</v>
      </c>
      <c r="H919" s="3" t="s">
        <v>24</v>
      </c>
      <c r="I919" s="6">
        <v>52</v>
      </c>
      <c r="J919" s="6">
        <v>55</v>
      </c>
      <c r="K919" s="7">
        <v>0.8970165690088151</v>
      </c>
      <c r="L919" s="7">
        <v>0.99333572945845405</v>
      </c>
      <c r="M919" s="7">
        <v>0.97677176731700821</v>
      </c>
      <c r="N919" s="8">
        <v>27050</v>
      </c>
      <c r="O919" s="7">
        <f t="shared" si="29"/>
        <v>0.99168577821129666</v>
      </c>
    </row>
    <row r="920" spans="1:15">
      <c r="A920" s="3" t="s">
        <v>954</v>
      </c>
      <c r="B920" s="4">
        <v>46171</v>
      </c>
      <c r="C920" s="5">
        <f t="shared" si="28"/>
        <v>46143</v>
      </c>
      <c r="D920" s="3" t="s">
        <v>26</v>
      </c>
      <c r="E920" s="2" t="s">
        <v>27</v>
      </c>
      <c r="F920" s="2" t="s">
        <v>28</v>
      </c>
      <c r="G920" s="2" t="s">
        <v>29</v>
      </c>
      <c r="H920" s="3" t="s">
        <v>20</v>
      </c>
      <c r="I920" s="6">
        <v>38</v>
      </c>
      <c r="J920" s="6">
        <v>40</v>
      </c>
      <c r="K920" s="7">
        <v>0.88338553562494171</v>
      </c>
      <c r="L920" s="7">
        <v>0.9789708650624388</v>
      </c>
      <c r="M920" s="7">
        <v>0.84424402252517505</v>
      </c>
      <c r="N920" s="8">
        <v>16130</v>
      </c>
      <c r="O920" s="7">
        <f t="shared" si="29"/>
        <v>0.9575934497495836</v>
      </c>
    </row>
    <row r="921" spans="1:15">
      <c r="A921" s="3" t="s">
        <v>955</v>
      </c>
      <c r="B921" s="4">
        <v>46174</v>
      </c>
      <c r="C921" s="5">
        <f t="shared" si="28"/>
        <v>46174</v>
      </c>
      <c r="D921" s="3" t="s">
        <v>39</v>
      </c>
      <c r="E921" s="2" t="s">
        <v>40</v>
      </c>
      <c r="F921" s="2" t="s">
        <v>36</v>
      </c>
      <c r="G921" s="2" t="s">
        <v>37</v>
      </c>
      <c r="H921" s="3" t="s">
        <v>24</v>
      </c>
      <c r="I921" s="6">
        <v>43</v>
      </c>
      <c r="J921" s="6">
        <v>49</v>
      </c>
      <c r="K921" s="7">
        <v>0.97057069400740714</v>
      </c>
      <c r="L921" s="7">
        <v>0.956419020627157</v>
      </c>
      <c r="M921" s="7">
        <v>0.97183593584401107</v>
      </c>
      <c r="N921" s="8">
        <v>24940</v>
      </c>
      <c r="O921" s="7">
        <f t="shared" si="29"/>
        <v>1.0362866672530997</v>
      </c>
    </row>
    <row r="922" spans="1:15">
      <c r="A922" s="3" t="s">
        <v>956</v>
      </c>
      <c r="B922" s="4">
        <v>46176</v>
      </c>
      <c r="C922" s="5">
        <f t="shared" si="28"/>
        <v>46174</v>
      </c>
      <c r="D922" s="3" t="s">
        <v>16</v>
      </c>
      <c r="E922" s="2" t="s">
        <v>17</v>
      </c>
      <c r="F922" s="2" t="s">
        <v>18</v>
      </c>
      <c r="G922" s="2" t="s">
        <v>19</v>
      </c>
      <c r="H922" s="3" t="s">
        <v>20</v>
      </c>
      <c r="I922" s="6">
        <v>51</v>
      </c>
      <c r="J922" s="6">
        <v>57</v>
      </c>
      <c r="K922" s="7">
        <v>0.92626415390137673</v>
      </c>
      <c r="L922" s="7">
        <v>0.97200331863946432</v>
      </c>
      <c r="M922" s="7">
        <v>0.91743974540700524</v>
      </c>
      <c r="N922" s="8">
        <v>36000</v>
      </c>
      <c r="O922" s="7">
        <f t="shared" si="29"/>
        <v>1.0079133088820766</v>
      </c>
    </row>
    <row r="923" spans="1:15">
      <c r="A923" s="3" t="s">
        <v>957</v>
      </c>
      <c r="B923" s="4">
        <v>46176</v>
      </c>
      <c r="C923" s="5">
        <f t="shared" si="28"/>
        <v>46174</v>
      </c>
      <c r="D923" s="3" t="s">
        <v>16</v>
      </c>
      <c r="E923" s="2" t="s">
        <v>17</v>
      </c>
      <c r="F923" s="2" t="s">
        <v>18</v>
      </c>
      <c r="G923" s="2" t="s">
        <v>19</v>
      </c>
      <c r="H923" s="3" t="s">
        <v>20</v>
      </c>
      <c r="I923" s="6">
        <v>47</v>
      </c>
      <c r="J923" s="6">
        <v>44</v>
      </c>
      <c r="K923" s="7">
        <v>0.97608564176240198</v>
      </c>
      <c r="L923" s="7">
        <v>0.99696552787808357</v>
      </c>
      <c r="M923" s="7">
        <v>0.9015005796590847</v>
      </c>
      <c r="N923" s="8">
        <v>28370</v>
      </c>
      <c r="O923" s="7">
        <f t="shared" si="29"/>
        <v>0.94833444066051298</v>
      </c>
    </row>
    <row r="924" spans="1:15">
      <c r="A924" s="3" t="s">
        <v>958</v>
      </c>
      <c r="B924" s="4">
        <v>46176</v>
      </c>
      <c r="C924" s="5">
        <f t="shared" si="28"/>
        <v>46174</v>
      </c>
      <c r="D924" s="3" t="s">
        <v>16</v>
      </c>
      <c r="E924" s="2" t="s">
        <v>17</v>
      </c>
      <c r="F924" s="2" t="s">
        <v>18</v>
      </c>
      <c r="G924" s="2" t="s">
        <v>19</v>
      </c>
      <c r="H924" s="3" t="s">
        <v>20</v>
      </c>
      <c r="I924" s="6">
        <v>49</v>
      </c>
      <c r="J924" s="6">
        <v>56</v>
      </c>
      <c r="K924" s="7">
        <v>0.95683296726675271</v>
      </c>
      <c r="L924" s="7">
        <v>0.97907700328300562</v>
      </c>
      <c r="M924" s="7">
        <v>0.8654976777904273</v>
      </c>
      <c r="N924" s="8">
        <v>28870</v>
      </c>
      <c r="O924" s="7">
        <f t="shared" si="29"/>
        <v>1.0163121850100816</v>
      </c>
    </row>
    <row r="925" spans="1:15">
      <c r="A925" s="3" t="s">
        <v>959</v>
      </c>
      <c r="B925" s="4">
        <v>46177</v>
      </c>
      <c r="C925" s="5">
        <f t="shared" si="28"/>
        <v>46174</v>
      </c>
      <c r="D925" s="3" t="s">
        <v>26</v>
      </c>
      <c r="E925" s="2" t="s">
        <v>27</v>
      </c>
      <c r="F925" s="2" t="s">
        <v>28</v>
      </c>
      <c r="G925" s="2" t="s">
        <v>29</v>
      </c>
      <c r="H925" s="3" t="s">
        <v>20</v>
      </c>
      <c r="I925" s="6">
        <v>49</v>
      </c>
      <c r="J925" s="6">
        <v>46</v>
      </c>
      <c r="K925" s="7">
        <v>0.90991660852335099</v>
      </c>
      <c r="L925" s="7">
        <v>0.92274723755706078</v>
      </c>
      <c r="M925" s="7">
        <v>0.88011670070824677</v>
      </c>
      <c r="N925" s="8">
        <v>20700</v>
      </c>
      <c r="O925" s="7">
        <f t="shared" si="29"/>
        <v>0.91742478198767885</v>
      </c>
    </row>
    <row r="926" spans="1:15">
      <c r="A926" s="3" t="s">
        <v>960</v>
      </c>
      <c r="B926" s="4">
        <v>46178</v>
      </c>
      <c r="C926" s="5">
        <f t="shared" si="28"/>
        <v>46174</v>
      </c>
      <c r="D926" s="3" t="s">
        <v>16</v>
      </c>
      <c r="E926" s="2" t="s">
        <v>17</v>
      </c>
      <c r="F926" s="2" t="s">
        <v>18</v>
      </c>
      <c r="G926" s="2" t="s">
        <v>19</v>
      </c>
      <c r="H926" s="3" t="s">
        <v>20</v>
      </c>
      <c r="I926" s="6">
        <v>32</v>
      </c>
      <c r="J926" s="6">
        <v>33</v>
      </c>
      <c r="K926" s="7">
        <v>0.95403578371947684</v>
      </c>
      <c r="L926" s="7">
        <v>0.9548796514632123</v>
      </c>
      <c r="M926" s="7">
        <v>0.96979806945315505</v>
      </c>
      <c r="N926" s="8">
        <v>18410</v>
      </c>
      <c r="O926" s="7">
        <f t="shared" si="29"/>
        <v>0.98820050753998201</v>
      </c>
    </row>
    <row r="927" spans="1:15">
      <c r="A927" s="3" t="s">
        <v>961</v>
      </c>
      <c r="B927" s="4">
        <v>46178</v>
      </c>
      <c r="C927" s="5">
        <f t="shared" si="28"/>
        <v>46174</v>
      </c>
      <c r="D927" s="3" t="s">
        <v>43</v>
      </c>
      <c r="E927" s="2" t="s">
        <v>44</v>
      </c>
      <c r="F927" s="2" t="s">
        <v>28</v>
      </c>
      <c r="G927" s="2" t="s">
        <v>29</v>
      </c>
      <c r="H927" s="3" t="s">
        <v>45</v>
      </c>
      <c r="I927" s="6">
        <v>39</v>
      </c>
      <c r="J927" s="6">
        <v>38</v>
      </c>
      <c r="K927" s="7">
        <v>0.95691773613943076</v>
      </c>
      <c r="L927" s="7">
        <v>0.96314518014732164</v>
      </c>
      <c r="M927" s="7">
        <v>0.90058907633267005</v>
      </c>
      <c r="N927" s="8">
        <v>14510</v>
      </c>
      <c r="O927" s="7">
        <f t="shared" si="29"/>
        <v>0.9535626160670797</v>
      </c>
    </row>
    <row r="928" spans="1:15">
      <c r="A928" s="3" t="s">
        <v>962</v>
      </c>
      <c r="B928" s="4">
        <v>46181</v>
      </c>
      <c r="C928" s="5">
        <f t="shared" si="28"/>
        <v>46174</v>
      </c>
      <c r="D928" s="3" t="s">
        <v>16</v>
      </c>
      <c r="E928" s="2" t="s">
        <v>17</v>
      </c>
      <c r="F928" s="2" t="s">
        <v>18</v>
      </c>
      <c r="G928" s="2" t="s">
        <v>19</v>
      </c>
      <c r="H928" s="3" t="s">
        <v>20</v>
      </c>
      <c r="I928" s="6">
        <v>33</v>
      </c>
      <c r="J928" s="6">
        <v>33</v>
      </c>
      <c r="K928" s="7">
        <v>0.90018091946455459</v>
      </c>
      <c r="L928" s="7">
        <v>0.94815093235805203</v>
      </c>
      <c r="M928" s="7">
        <v>0.94753334938715195</v>
      </c>
      <c r="N928" s="8">
        <v>18430</v>
      </c>
      <c r="O928" s="7">
        <f t="shared" si="29"/>
        <v>0.95677453959727687</v>
      </c>
    </row>
    <row r="929" spans="1:15">
      <c r="A929" s="3" t="s">
        <v>963</v>
      </c>
      <c r="B929" s="4">
        <v>46182</v>
      </c>
      <c r="C929" s="5">
        <f t="shared" si="28"/>
        <v>46174</v>
      </c>
      <c r="D929" s="3" t="s">
        <v>16</v>
      </c>
      <c r="E929" s="2" t="s">
        <v>17</v>
      </c>
      <c r="F929" s="2" t="s">
        <v>18</v>
      </c>
      <c r="G929" s="2" t="s">
        <v>19</v>
      </c>
      <c r="H929" s="3" t="s">
        <v>20</v>
      </c>
      <c r="I929" s="6">
        <v>35</v>
      </c>
      <c r="J929" s="6">
        <v>38</v>
      </c>
      <c r="K929" s="7">
        <v>0.95701368606247705</v>
      </c>
      <c r="L929" s="7">
        <v>0.9711000723927814</v>
      </c>
      <c r="M929" s="7">
        <v>0.92880951765136766</v>
      </c>
      <c r="N929" s="8">
        <v>24010</v>
      </c>
      <c r="O929" s="7">
        <f t="shared" si="29"/>
        <v>1.0049660501905242</v>
      </c>
    </row>
    <row r="930" spans="1:15">
      <c r="A930" s="3" t="s">
        <v>964</v>
      </c>
      <c r="B930" s="4">
        <v>46183</v>
      </c>
      <c r="C930" s="5">
        <f t="shared" si="28"/>
        <v>46174</v>
      </c>
      <c r="D930" s="3" t="s">
        <v>16</v>
      </c>
      <c r="E930" s="2" t="s">
        <v>17</v>
      </c>
      <c r="F930" s="2" t="s">
        <v>18</v>
      </c>
      <c r="G930" s="2" t="s">
        <v>19</v>
      </c>
      <c r="H930" s="3" t="s">
        <v>20</v>
      </c>
      <c r="I930" s="6">
        <v>37</v>
      </c>
      <c r="J930" s="6">
        <v>41</v>
      </c>
      <c r="K930" s="7">
        <v>0.92689017811079111</v>
      </c>
      <c r="L930" s="7">
        <v>0.97130544630220539</v>
      </c>
      <c r="M930" s="7">
        <v>0.9194165544499171</v>
      </c>
      <c r="N930" s="8">
        <v>24400</v>
      </c>
      <c r="O930" s="7">
        <f t="shared" si="29"/>
        <v>1.0045449156062554</v>
      </c>
    </row>
    <row r="931" spans="1:15">
      <c r="A931" s="3" t="s">
        <v>965</v>
      </c>
      <c r="B931" s="4">
        <v>46183</v>
      </c>
      <c r="C931" s="5">
        <f t="shared" si="28"/>
        <v>46174</v>
      </c>
      <c r="D931" s="3" t="s">
        <v>22</v>
      </c>
      <c r="E931" s="2" t="s">
        <v>23</v>
      </c>
      <c r="F931" s="2" t="s">
        <v>18</v>
      </c>
      <c r="G931" s="2" t="s">
        <v>19</v>
      </c>
      <c r="H931" s="3" t="s">
        <v>24</v>
      </c>
      <c r="I931" s="6">
        <v>48</v>
      </c>
      <c r="J931" s="6">
        <v>48</v>
      </c>
      <c r="K931" s="7">
        <v>0.9586232415747975</v>
      </c>
      <c r="L931" s="7">
        <v>0.95196928561030048</v>
      </c>
      <c r="M931" s="7">
        <v>0.94016521015175458</v>
      </c>
      <c r="N931" s="8">
        <v>28570</v>
      </c>
      <c r="O931" s="7">
        <f t="shared" si="29"/>
        <v>0.97048424526559529</v>
      </c>
    </row>
    <row r="932" spans="1:15">
      <c r="A932" s="3" t="s">
        <v>966</v>
      </c>
      <c r="B932" s="4">
        <v>46183</v>
      </c>
      <c r="C932" s="5">
        <f t="shared" si="28"/>
        <v>46174</v>
      </c>
      <c r="D932" s="3" t="s">
        <v>39</v>
      </c>
      <c r="E932" s="2" t="s">
        <v>40</v>
      </c>
      <c r="F932" s="2" t="s">
        <v>36</v>
      </c>
      <c r="G932" s="2" t="s">
        <v>37</v>
      </c>
      <c r="H932" s="3" t="s">
        <v>24</v>
      </c>
      <c r="I932" s="6">
        <v>38</v>
      </c>
      <c r="J932" s="6">
        <v>44</v>
      </c>
      <c r="K932" s="7">
        <v>0.93809329836957689</v>
      </c>
      <c r="L932" s="7">
        <v>1</v>
      </c>
      <c r="M932" s="7">
        <v>0.99060914707089975</v>
      </c>
      <c r="N932" s="8">
        <v>19700</v>
      </c>
      <c r="O932" s="7">
        <f t="shared" si="29"/>
        <v>1.0458030487434162</v>
      </c>
    </row>
    <row r="933" spans="1:15">
      <c r="A933" s="3" t="s">
        <v>967</v>
      </c>
      <c r="B933" s="4">
        <v>46185</v>
      </c>
      <c r="C933" s="5">
        <f t="shared" si="28"/>
        <v>46174</v>
      </c>
      <c r="D933" s="3" t="s">
        <v>16</v>
      </c>
      <c r="E933" s="2" t="s">
        <v>17</v>
      </c>
      <c r="F933" s="2" t="s">
        <v>18</v>
      </c>
      <c r="G933" s="2" t="s">
        <v>19</v>
      </c>
      <c r="H933" s="3" t="s">
        <v>20</v>
      </c>
      <c r="I933" s="6">
        <v>43</v>
      </c>
      <c r="J933" s="6">
        <v>50</v>
      </c>
      <c r="K933" s="7">
        <v>0.95126895711092485</v>
      </c>
      <c r="L933" s="7">
        <v>0.94911476884325585</v>
      </c>
      <c r="M933" s="7">
        <v>0.96200338969519739</v>
      </c>
      <c r="N933" s="8">
        <v>27730</v>
      </c>
      <c r="O933" s="7">
        <f t="shared" si="29"/>
        <v>1.0377014116130265</v>
      </c>
    </row>
    <row r="934" spans="1:15">
      <c r="A934" s="3" t="s">
        <v>968</v>
      </c>
      <c r="B934" s="4">
        <v>46185</v>
      </c>
      <c r="C934" s="5">
        <f t="shared" si="28"/>
        <v>46174</v>
      </c>
      <c r="D934" s="3" t="s">
        <v>26</v>
      </c>
      <c r="E934" s="2" t="s">
        <v>27</v>
      </c>
      <c r="F934" s="2" t="s">
        <v>28</v>
      </c>
      <c r="G934" s="2" t="s">
        <v>29</v>
      </c>
      <c r="H934" s="3" t="s">
        <v>20</v>
      </c>
      <c r="I934" s="6">
        <v>38</v>
      </c>
      <c r="J934" s="6">
        <v>39</v>
      </c>
      <c r="K934" s="7">
        <v>0.8709321345456672</v>
      </c>
      <c r="L934" s="7">
        <v>0.94136497314686951</v>
      </c>
      <c r="M934" s="7">
        <v>0.92896849015227934</v>
      </c>
      <c r="N934" s="8">
        <v>16280</v>
      </c>
      <c r="O934" s="7">
        <f t="shared" si="29"/>
        <v>0.95525779342837691</v>
      </c>
    </row>
    <row r="935" spans="1:15">
      <c r="A935" s="3" t="s">
        <v>969</v>
      </c>
      <c r="B935" s="4">
        <v>46185</v>
      </c>
      <c r="C935" s="5">
        <f t="shared" si="28"/>
        <v>46174</v>
      </c>
      <c r="D935" s="3" t="s">
        <v>34</v>
      </c>
      <c r="E935" s="2" t="s">
        <v>35</v>
      </c>
      <c r="F935" s="2" t="s">
        <v>36</v>
      </c>
      <c r="G935" s="2" t="s">
        <v>37</v>
      </c>
      <c r="H935" s="3" t="s">
        <v>20</v>
      </c>
      <c r="I935" s="6">
        <v>29</v>
      </c>
      <c r="J935" s="6">
        <v>28</v>
      </c>
      <c r="K935" s="7">
        <v>0.90954368410232811</v>
      </c>
      <c r="L935" s="7">
        <v>0.97912295697037721</v>
      </c>
      <c r="M935" s="7">
        <v>0.9283126580093447</v>
      </c>
      <c r="N935" s="8">
        <v>13830</v>
      </c>
      <c r="O935" s="7">
        <f t="shared" si="29"/>
        <v>0.94612379272473179</v>
      </c>
    </row>
    <row r="936" spans="1:15">
      <c r="A936" s="3" t="s">
        <v>970</v>
      </c>
      <c r="B936" s="4">
        <v>46189</v>
      </c>
      <c r="C936" s="5">
        <f t="shared" si="28"/>
        <v>46174</v>
      </c>
      <c r="D936" s="3" t="s">
        <v>34</v>
      </c>
      <c r="E936" s="2" t="s">
        <v>35</v>
      </c>
      <c r="F936" s="2" t="s">
        <v>36</v>
      </c>
      <c r="G936" s="2" t="s">
        <v>37</v>
      </c>
      <c r="H936" s="3" t="s">
        <v>20</v>
      </c>
      <c r="I936" s="6">
        <v>32</v>
      </c>
      <c r="J936" s="6">
        <v>35</v>
      </c>
      <c r="K936" s="7">
        <v>0.93188593570692413</v>
      </c>
      <c r="L936" s="7">
        <v>0.94763758790868169</v>
      </c>
      <c r="M936" s="7">
        <v>0.95119431653479192</v>
      </c>
      <c r="N936" s="8">
        <v>16420</v>
      </c>
      <c r="O936" s="7">
        <f t="shared" si="29"/>
        <v>1.0028559854199917</v>
      </c>
    </row>
    <row r="937" spans="1:15">
      <c r="A937" s="3" t="s">
        <v>971</v>
      </c>
      <c r="B937" s="4">
        <v>46190</v>
      </c>
      <c r="C937" s="5">
        <f t="shared" si="28"/>
        <v>46174</v>
      </c>
      <c r="D937" s="3" t="s">
        <v>26</v>
      </c>
      <c r="E937" s="2" t="s">
        <v>27</v>
      </c>
      <c r="F937" s="2" t="s">
        <v>28</v>
      </c>
      <c r="G937" s="2" t="s">
        <v>29</v>
      </c>
      <c r="H937" s="3" t="s">
        <v>20</v>
      </c>
      <c r="I937" s="6">
        <v>53</v>
      </c>
      <c r="J937" s="6">
        <v>45</v>
      </c>
      <c r="K937" s="7">
        <v>0.89641910273673187</v>
      </c>
      <c r="L937" s="7">
        <v>0.97201729513673785</v>
      </c>
      <c r="M937" s="7">
        <v>0.91189952721423129</v>
      </c>
      <c r="N937" s="8">
        <v>19870</v>
      </c>
      <c r="O937" s="7">
        <f t="shared" si="29"/>
        <v>0.89190991690697397</v>
      </c>
    </row>
    <row r="938" spans="1:15">
      <c r="A938" s="3" t="s">
        <v>972</v>
      </c>
      <c r="B938" s="4">
        <v>46190</v>
      </c>
      <c r="C938" s="5">
        <f t="shared" si="28"/>
        <v>46174</v>
      </c>
      <c r="D938" s="3" t="s">
        <v>43</v>
      </c>
      <c r="E938" s="2" t="s">
        <v>44</v>
      </c>
      <c r="F938" s="2" t="s">
        <v>28</v>
      </c>
      <c r="G938" s="2" t="s">
        <v>29</v>
      </c>
      <c r="H938" s="3" t="s">
        <v>45</v>
      </c>
      <c r="I938" s="6">
        <v>52</v>
      </c>
      <c r="J938" s="6">
        <v>48</v>
      </c>
      <c r="K938" s="7">
        <v>0.93874106289691961</v>
      </c>
      <c r="L938" s="7">
        <v>0.94590648496630503</v>
      </c>
      <c r="M938" s="7">
        <v>0.94403734092728508</v>
      </c>
      <c r="N938" s="8">
        <v>19760</v>
      </c>
      <c r="O938" s="7">
        <f t="shared" si="29"/>
        <v>0.93460947588540189</v>
      </c>
    </row>
    <row r="939" spans="1:15">
      <c r="A939" s="3" t="s">
        <v>973</v>
      </c>
      <c r="B939" s="4">
        <v>46191</v>
      </c>
      <c r="C939" s="5">
        <f t="shared" si="28"/>
        <v>46174</v>
      </c>
      <c r="D939" s="3" t="s">
        <v>43</v>
      </c>
      <c r="E939" s="2" t="s">
        <v>44</v>
      </c>
      <c r="F939" s="2" t="s">
        <v>28</v>
      </c>
      <c r="G939" s="2" t="s">
        <v>29</v>
      </c>
      <c r="H939" s="3" t="s">
        <v>45</v>
      </c>
      <c r="I939" s="6">
        <v>32</v>
      </c>
      <c r="J939" s="6">
        <v>34</v>
      </c>
      <c r="K939" s="7">
        <v>0.995</v>
      </c>
      <c r="L939" s="7">
        <v>0.97950164384975624</v>
      </c>
      <c r="M939" s="7">
        <v>0.90432299025028473</v>
      </c>
      <c r="N939" s="8">
        <v>13590</v>
      </c>
      <c r="O939" s="7">
        <f t="shared" si="29"/>
        <v>1.0015398446275205</v>
      </c>
    </row>
    <row r="940" spans="1:15">
      <c r="A940" s="3" t="s">
        <v>974</v>
      </c>
      <c r="B940" s="4">
        <v>46191</v>
      </c>
      <c r="C940" s="5">
        <f t="shared" si="28"/>
        <v>46174</v>
      </c>
      <c r="D940" s="3" t="s">
        <v>39</v>
      </c>
      <c r="E940" s="2" t="s">
        <v>40</v>
      </c>
      <c r="F940" s="2" t="s">
        <v>36</v>
      </c>
      <c r="G940" s="2" t="s">
        <v>37</v>
      </c>
      <c r="H940" s="3" t="s">
        <v>24</v>
      </c>
      <c r="I940" s="6">
        <v>43</v>
      </c>
      <c r="J940" s="6">
        <v>48</v>
      </c>
      <c r="K940" s="7">
        <v>0.96288805750490514</v>
      </c>
      <c r="L940" s="7">
        <v>0.95555940638542691</v>
      </c>
      <c r="M940" s="7">
        <v>0.995</v>
      </c>
      <c r="N940" s="8">
        <v>20680</v>
      </c>
      <c r="O940" s="7">
        <f t="shared" si="29"/>
        <v>1.0295675532410171</v>
      </c>
    </row>
    <row r="941" spans="1:15">
      <c r="A941" s="3" t="s">
        <v>975</v>
      </c>
      <c r="B941" s="4">
        <v>46192</v>
      </c>
      <c r="C941" s="5">
        <f t="shared" si="28"/>
        <v>46174</v>
      </c>
      <c r="D941" s="3" t="s">
        <v>26</v>
      </c>
      <c r="E941" s="2" t="s">
        <v>27</v>
      </c>
      <c r="F941" s="2" t="s">
        <v>28</v>
      </c>
      <c r="G941" s="2" t="s">
        <v>29</v>
      </c>
      <c r="H941" s="3" t="s">
        <v>20</v>
      </c>
      <c r="I941" s="6">
        <v>32</v>
      </c>
      <c r="J941" s="6">
        <v>31</v>
      </c>
      <c r="K941" s="7">
        <v>0.86249179951192967</v>
      </c>
      <c r="L941" s="7">
        <v>0.9635771787858769</v>
      </c>
      <c r="M941" s="7">
        <v>0.8709070080307032</v>
      </c>
      <c r="N941" s="8">
        <v>12020</v>
      </c>
      <c r="O941" s="7">
        <f t="shared" si="29"/>
        <v>0.92184092830200459</v>
      </c>
    </row>
    <row r="942" spans="1:15">
      <c r="A942" s="3" t="s">
        <v>976</v>
      </c>
      <c r="B942" s="4">
        <v>46192</v>
      </c>
      <c r="C942" s="5">
        <f t="shared" si="28"/>
        <v>46174</v>
      </c>
      <c r="D942" s="3" t="s">
        <v>43</v>
      </c>
      <c r="E942" s="2" t="s">
        <v>44</v>
      </c>
      <c r="F942" s="2" t="s">
        <v>28</v>
      </c>
      <c r="G942" s="2" t="s">
        <v>29</v>
      </c>
      <c r="H942" s="3" t="s">
        <v>45</v>
      </c>
      <c r="I942" s="6">
        <v>43</v>
      </c>
      <c r="J942" s="6">
        <v>44</v>
      </c>
      <c r="K942" s="7">
        <v>0.95697984115970602</v>
      </c>
      <c r="L942" s="7">
        <v>0.99543819510148046</v>
      </c>
      <c r="M942" s="7">
        <v>0.91465757200256781</v>
      </c>
      <c r="N942" s="8">
        <v>19300</v>
      </c>
      <c r="O942" s="7">
        <f t="shared" si="29"/>
        <v>0.98079452953705759</v>
      </c>
    </row>
    <row r="943" spans="1:15">
      <c r="A943" s="3" t="s">
        <v>977</v>
      </c>
      <c r="B943" s="4">
        <v>46192</v>
      </c>
      <c r="C943" s="5">
        <f t="shared" si="28"/>
        <v>46174</v>
      </c>
      <c r="D943" s="3" t="s">
        <v>43</v>
      </c>
      <c r="E943" s="2" t="s">
        <v>44</v>
      </c>
      <c r="F943" s="2" t="s">
        <v>28</v>
      </c>
      <c r="G943" s="2" t="s">
        <v>29</v>
      </c>
      <c r="H943" s="3" t="s">
        <v>45</v>
      </c>
      <c r="I943" s="6">
        <v>37</v>
      </c>
      <c r="J943" s="6">
        <v>43</v>
      </c>
      <c r="K943" s="7">
        <v>0.98731930021107073</v>
      </c>
      <c r="L943" s="7">
        <v>0.98019090483244509</v>
      </c>
      <c r="M943" s="7">
        <v>0.90556932779997157</v>
      </c>
      <c r="N943" s="8">
        <v>20610</v>
      </c>
      <c r="O943" s="7">
        <f t="shared" si="29"/>
        <v>1.0398371912024937</v>
      </c>
    </row>
    <row r="944" spans="1:15">
      <c r="A944" s="3" t="s">
        <v>978</v>
      </c>
      <c r="B944" s="4">
        <v>46195</v>
      </c>
      <c r="C944" s="5">
        <f t="shared" si="28"/>
        <v>46174</v>
      </c>
      <c r="D944" s="3" t="s">
        <v>43</v>
      </c>
      <c r="E944" s="2" t="s">
        <v>44</v>
      </c>
      <c r="F944" s="2" t="s">
        <v>28</v>
      </c>
      <c r="G944" s="2" t="s">
        <v>29</v>
      </c>
      <c r="H944" s="3" t="s">
        <v>45</v>
      </c>
      <c r="I944" s="6">
        <v>43</v>
      </c>
      <c r="J944" s="6">
        <v>40</v>
      </c>
      <c r="K944" s="7">
        <v>0.96419013932756947</v>
      </c>
      <c r="L944" s="7">
        <v>0.97474286027402346</v>
      </c>
      <c r="M944" s="7">
        <v>0.87496133931855036</v>
      </c>
      <c r="N944" s="8">
        <v>16100</v>
      </c>
      <c r="O944" s="7">
        <f t="shared" si="29"/>
        <v>0.93434425499251983</v>
      </c>
    </row>
    <row r="945" spans="1:15">
      <c r="A945" s="3" t="s">
        <v>979</v>
      </c>
      <c r="B945" s="4">
        <v>46195</v>
      </c>
      <c r="C945" s="5">
        <f t="shared" si="28"/>
        <v>46174</v>
      </c>
      <c r="D945" s="3" t="s">
        <v>34</v>
      </c>
      <c r="E945" s="2" t="s">
        <v>35</v>
      </c>
      <c r="F945" s="2" t="s">
        <v>36</v>
      </c>
      <c r="G945" s="2" t="s">
        <v>37</v>
      </c>
      <c r="H945" s="3" t="s">
        <v>20</v>
      </c>
      <c r="I945" s="6">
        <v>46</v>
      </c>
      <c r="J945" s="6">
        <v>44</v>
      </c>
      <c r="K945" s="7">
        <v>0.92604509090775677</v>
      </c>
      <c r="L945" s="7">
        <v>0.94186132089772412</v>
      </c>
      <c r="M945" s="7">
        <v>0.9446652886097352</v>
      </c>
      <c r="N945" s="8">
        <v>18130</v>
      </c>
      <c r="O945" s="7">
        <f t="shared" si="29"/>
        <v>0.94433222423571872</v>
      </c>
    </row>
    <row r="946" spans="1:15">
      <c r="A946" s="3" t="s">
        <v>980</v>
      </c>
      <c r="B946" s="4">
        <v>46196</v>
      </c>
      <c r="C946" s="5">
        <f t="shared" si="28"/>
        <v>46174</v>
      </c>
      <c r="D946" s="3" t="s">
        <v>22</v>
      </c>
      <c r="E946" s="2" t="s">
        <v>23</v>
      </c>
      <c r="F946" s="2" t="s">
        <v>18</v>
      </c>
      <c r="G946" s="2" t="s">
        <v>19</v>
      </c>
      <c r="H946" s="3" t="s">
        <v>24</v>
      </c>
      <c r="I946" s="6">
        <v>44</v>
      </c>
      <c r="J946" s="6">
        <v>48</v>
      </c>
      <c r="K946" s="7">
        <v>0.92996854768390014</v>
      </c>
      <c r="L946" s="7">
        <v>0.9609758587391164</v>
      </c>
      <c r="M946" s="7">
        <v>0.93576411126548764</v>
      </c>
      <c r="N946" s="8">
        <v>25740</v>
      </c>
      <c r="O946" s="7">
        <f t="shared" si="29"/>
        <v>1.0001549743485765</v>
      </c>
    </row>
    <row r="947" spans="1:15">
      <c r="A947" s="3" t="s">
        <v>981</v>
      </c>
      <c r="B947" s="4">
        <v>46196</v>
      </c>
      <c r="C947" s="5">
        <f t="shared" si="28"/>
        <v>46174</v>
      </c>
      <c r="D947" s="3" t="s">
        <v>34</v>
      </c>
      <c r="E947" s="2" t="s">
        <v>35</v>
      </c>
      <c r="F947" s="2" t="s">
        <v>36</v>
      </c>
      <c r="G947" s="2" t="s">
        <v>37</v>
      </c>
      <c r="H947" s="3" t="s">
        <v>20</v>
      </c>
      <c r="I947" s="6">
        <v>30</v>
      </c>
      <c r="J947" s="6">
        <v>32</v>
      </c>
      <c r="K947" s="7">
        <v>0.98269052249373035</v>
      </c>
      <c r="L947" s="7">
        <v>0.97528824352245291</v>
      </c>
      <c r="M947" s="7">
        <v>0.95401509424165543</v>
      </c>
      <c r="N947" s="8">
        <v>13610</v>
      </c>
      <c r="O947" s="7">
        <f t="shared" si="29"/>
        <v>1.0094355526667982</v>
      </c>
    </row>
    <row r="948" spans="1:15">
      <c r="A948" s="3" t="s">
        <v>982</v>
      </c>
      <c r="B948" s="4">
        <v>46197</v>
      </c>
      <c r="C948" s="5">
        <f t="shared" si="28"/>
        <v>46174</v>
      </c>
      <c r="D948" s="3" t="s">
        <v>26</v>
      </c>
      <c r="E948" s="2" t="s">
        <v>27</v>
      </c>
      <c r="F948" s="2" t="s">
        <v>28</v>
      </c>
      <c r="G948" s="2" t="s">
        <v>29</v>
      </c>
      <c r="H948" s="3" t="s">
        <v>20</v>
      </c>
      <c r="I948" s="6">
        <v>37</v>
      </c>
      <c r="J948" s="6">
        <v>36</v>
      </c>
      <c r="K948" s="7">
        <v>0.88436033883750964</v>
      </c>
      <c r="L948" s="7">
        <v>0.95753104157413971</v>
      </c>
      <c r="M948" s="7">
        <v>0.90951519703437933</v>
      </c>
      <c r="N948" s="8">
        <v>15940</v>
      </c>
      <c r="O948" s="7">
        <f t="shared" si="29"/>
        <v>0.93581196954156343</v>
      </c>
    </row>
    <row r="949" spans="1:15">
      <c r="A949" s="3" t="s">
        <v>983</v>
      </c>
      <c r="B949" s="4">
        <v>46198</v>
      </c>
      <c r="C949" s="5">
        <f t="shared" si="28"/>
        <v>46174</v>
      </c>
      <c r="D949" s="3" t="s">
        <v>43</v>
      </c>
      <c r="E949" s="2" t="s">
        <v>44</v>
      </c>
      <c r="F949" s="2" t="s">
        <v>28</v>
      </c>
      <c r="G949" s="2" t="s">
        <v>29</v>
      </c>
      <c r="H949" s="3" t="s">
        <v>45</v>
      </c>
      <c r="I949" s="6">
        <v>30</v>
      </c>
      <c r="J949" s="6">
        <v>34</v>
      </c>
      <c r="K949" s="7">
        <v>0.92113817367515904</v>
      </c>
      <c r="L949" s="7">
        <v>0.97788690888020247</v>
      </c>
      <c r="M949" s="7">
        <v>0.89578398854828889</v>
      </c>
      <c r="N949" s="8">
        <v>12440</v>
      </c>
      <c r="O949" s="7">
        <f t="shared" si="29"/>
        <v>1.0094577107938114</v>
      </c>
    </row>
    <row r="950" spans="1:15">
      <c r="A950" s="3" t="s">
        <v>984</v>
      </c>
      <c r="B950" s="4">
        <v>46198</v>
      </c>
      <c r="C950" s="5">
        <f t="shared" si="28"/>
        <v>46174</v>
      </c>
      <c r="D950" s="3" t="s">
        <v>39</v>
      </c>
      <c r="E950" s="2" t="s">
        <v>40</v>
      </c>
      <c r="F950" s="2" t="s">
        <v>36</v>
      </c>
      <c r="G950" s="2" t="s">
        <v>37</v>
      </c>
      <c r="H950" s="3" t="s">
        <v>24</v>
      </c>
      <c r="I950" s="6">
        <v>45</v>
      </c>
      <c r="J950" s="6">
        <v>51</v>
      </c>
      <c r="K950" s="7">
        <v>0.92188367071011901</v>
      </c>
      <c r="L950" s="7">
        <v>0.97194620472651838</v>
      </c>
      <c r="M950" s="7">
        <v>0.98898981549031473</v>
      </c>
      <c r="N950" s="8">
        <v>22350</v>
      </c>
      <c r="O950" s="7">
        <f t="shared" si="29"/>
        <v>1.0273941448179038</v>
      </c>
    </row>
    <row r="951" spans="1:15">
      <c r="A951" s="3" t="s">
        <v>985</v>
      </c>
      <c r="B951" s="4">
        <v>46203</v>
      </c>
      <c r="C951" s="5">
        <f t="shared" si="28"/>
        <v>46174</v>
      </c>
      <c r="D951" s="3" t="s">
        <v>26</v>
      </c>
      <c r="E951" s="2" t="s">
        <v>27</v>
      </c>
      <c r="F951" s="2" t="s">
        <v>28</v>
      </c>
      <c r="G951" s="2" t="s">
        <v>29</v>
      </c>
      <c r="H951" s="3" t="s">
        <v>20</v>
      </c>
      <c r="I951" s="6">
        <v>44</v>
      </c>
      <c r="J951" s="6">
        <v>39</v>
      </c>
      <c r="K951" s="7">
        <v>0.89076698295232892</v>
      </c>
      <c r="L951" s="7">
        <v>0.93418369675360213</v>
      </c>
      <c r="M951" s="7">
        <v>0.89669775985365552</v>
      </c>
      <c r="N951" s="8">
        <v>16890</v>
      </c>
      <c r="O951" s="7">
        <f t="shared" si="29"/>
        <v>0.89670430676730828</v>
      </c>
    </row>
    <row r="952" spans="1:15">
      <c r="A952" s="3" t="s">
        <v>986</v>
      </c>
      <c r="B952" s="4">
        <v>46203</v>
      </c>
      <c r="C952" s="5">
        <f t="shared" si="28"/>
        <v>46174</v>
      </c>
      <c r="D952" s="3" t="s">
        <v>34</v>
      </c>
      <c r="E952" s="2" t="s">
        <v>35</v>
      </c>
      <c r="F952" s="2" t="s">
        <v>36</v>
      </c>
      <c r="G952" s="2" t="s">
        <v>37</v>
      </c>
      <c r="H952" s="3" t="s">
        <v>20</v>
      </c>
      <c r="I952" s="6">
        <v>37</v>
      </c>
      <c r="J952" s="6">
        <v>45</v>
      </c>
      <c r="K952" s="7">
        <v>0.93765684885358569</v>
      </c>
      <c r="L952" s="7">
        <v>0.96343198901458338</v>
      </c>
      <c r="M952" s="7">
        <v>0.96291091255969574</v>
      </c>
      <c r="N952" s="8">
        <v>22310</v>
      </c>
      <c r="O952" s="7">
        <f t="shared" si="29"/>
        <v>1.0515111930775229</v>
      </c>
    </row>
    <row r="953" spans="1:15">
      <c r="A953" s="3" t="s">
        <v>987</v>
      </c>
      <c r="B953" s="4">
        <v>46204</v>
      </c>
      <c r="C953" s="5">
        <f t="shared" si="28"/>
        <v>46204</v>
      </c>
      <c r="D953" s="3" t="s">
        <v>34</v>
      </c>
      <c r="E953" s="2" t="s">
        <v>35</v>
      </c>
      <c r="F953" s="2" t="s">
        <v>36</v>
      </c>
      <c r="G953" s="2" t="s">
        <v>37</v>
      </c>
      <c r="H953" s="3" t="s">
        <v>20</v>
      </c>
      <c r="I953" s="6">
        <v>46</v>
      </c>
      <c r="J953" s="6">
        <v>42</v>
      </c>
      <c r="K953" s="7">
        <v>0.90687723676407583</v>
      </c>
      <c r="L953" s="7">
        <v>0.94409245487110516</v>
      </c>
      <c r="M953" s="7">
        <v>0.94844924103054751</v>
      </c>
      <c r="N953" s="8">
        <v>18490</v>
      </c>
      <c r="O953" s="7">
        <f t="shared" si="29"/>
        <v>0.9232404169321422</v>
      </c>
    </row>
    <row r="954" spans="1:15">
      <c r="A954" s="3" t="s">
        <v>988</v>
      </c>
      <c r="B954" s="4">
        <v>46205</v>
      </c>
      <c r="C954" s="5">
        <f t="shared" si="28"/>
        <v>46204</v>
      </c>
      <c r="D954" s="3" t="s">
        <v>22</v>
      </c>
      <c r="E954" s="2" t="s">
        <v>23</v>
      </c>
      <c r="F954" s="2" t="s">
        <v>18</v>
      </c>
      <c r="G954" s="2" t="s">
        <v>19</v>
      </c>
      <c r="H954" s="3" t="s">
        <v>24</v>
      </c>
      <c r="I954" s="6">
        <v>45</v>
      </c>
      <c r="J954" s="6">
        <v>49</v>
      </c>
      <c r="K954" s="7">
        <v>0.93828857567918567</v>
      </c>
      <c r="L954" s="7">
        <v>0.97242311398496284</v>
      </c>
      <c r="M954" s="7">
        <v>0.95353015300968957</v>
      </c>
      <c r="N954" s="8">
        <v>27230</v>
      </c>
      <c r="O954" s="7">
        <f t="shared" si="29"/>
        <v>1.0066971971750345</v>
      </c>
    </row>
    <row r="955" spans="1:15">
      <c r="A955" s="3" t="s">
        <v>989</v>
      </c>
      <c r="B955" s="4">
        <v>46209</v>
      </c>
      <c r="C955" s="5">
        <f t="shared" si="28"/>
        <v>46204</v>
      </c>
      <c r="D955" s="3" t="s">
        <v>26</v>
      </c>
      <c r="E955" s="2" t="s">
        <v>27</v>
      </c>
      <c r="F955" s="2" t="s">
        <v>28</v>
      </c>
      <c r="G955" s="2" t="s">
        <v>29</v>
      </c>
      <c r="H955" s="3" t="s">
        <v>20</v>
      </c>
      <c r="I955" s="6">
        <v>29</v>
      </c>
      <c r="J955" s="6">
        <v>24</v>
      </c>
      <c r="K955" s="7">
        <v>0.91886008072335068</v>
      </c>
      <c r="L955" s="7">
        <v>0.94082964779886369</v>
      </c>
      <c r="M955" s="7">
        <v>0.87060003665281704</v>
      </c>
      <c r="N955" s="8">
        <v>9540</v>
      </c>
      <c r="O955" s="7">
        <f t="shared" si="29"/>
        <v>0.87599395743985131</v>
      </c>
    </row>
    <row r="956" spans="1:15">
      <c r="A956" s="3" t="s">
        <v>990</v>
      </c>
      <c r="B956" s="4">
        <v>46211</v>
      </c>
      <c r="C956" s="5">
        <f t="shared" si="28"/>
        <v>46204</v>
      </c>
      <c r="D956" s="3" t="s">
        <v>16</v>
      </c>
      <c r="E956" s="2" t="s">
        <v>17</v>
      </c>
      <c r="F956" s="2" t="s">
        <v>18</v>
      </c>
      <c r="G956" s="2" t="s">
        <v>19</v>
      </c>
      <c r="H956" s="3" t="s">
        <v>20</v>
      </c>
      <c r="I956" s="6">
        <v>40</v>
      </c>
      <c r="J956" s="6">
        <v>46</v>
      </c>
      <c r="K956" s="7">
        <v>0.90662270000278389</v>
      </c>
      <c r="L956" s="7">
        <v>0.97364904528959206</v>
      </c>
      <c r="M956" s="7">
        <v>0.92175895546379183</v>
      </c>
      <c r="N956" s="8">
        <v>26170</v>
      </c>
      <c r="O956" s="7">
        <f t="shared" si="29"/>
        <v>1.0170548228868932</v>
      </c>
    </row>
    <row r="957" spans="1:15">
      <c r="A957" s="3" t="s">
        <v>991</v>
      </c>
      <c r="B957" s="4">
        <v>46212</v>
      </c>
      <c r="C957" s="5">
        <f t="shared" si="28"/>
        <v>46204</v>
      </c>
      <c r="D957" s="3" t="s">
        <v>16</v>
      </c>
      <c r="E957" s="2" t="s">
        <v>17</v>
      </c>
      <c r="F957" s="2" t="s">
        <v>18</v>
      </c>
      <c r="G957" s="2" t="s">
        <v>19</v>
      </c>
      <c r="H957" s="3" t="s">
        <v>20</v>
      </c>
      <c r="I957" s="6">
        <v>44</v>
      </c>
      <c r="J957" s="6">
        <v>51</v>
      </c>
      <c r="K957" s="7">
        <v>0.93046133621877758</v>
      </c>
      <c r="L957" s="7">
        <v>0.9959538311694478</v>
      </c>
      <c r="M957" s="7">
        <v>0.90495001999489966</v>
      </c>
      <c r="N957" s="8">
        <v>30550</v>
      </c>
      <c r="O957" s="7">
        <f t="shared" si="29"/>
        <v>1.0266347763654553</v>
      </c>
    </row>
    <row r="958" spans="1:15">
      <c r="A958" s="3" t="s">
        <v>992</v>
      </c>
      <c r="B958" s="4">
        <v>46213</v>
      </c>
      <c r="C958" s="5">
        <f t="shared" si="28"/>
        <v>46204</v>
      </c>
      <c r="D958" s="3" t="s">
        <v>16</v>
      </c>
      <c r="E958" s="2" t="s">
        <v>17</v>
      </c>
      <c r="F958" s="2" t="s">
        <v>18</v>
      </c>
      <c r="G958" s="2" t="s">
        <v>19</v>
      </c>
      <c r="H958" s="3" t="s">
        <v>20</v>
      </c>
      <c r="I958" s="6">
        <v>49</v>
      </c>
      <c r="J958" s="6">
        <v>54</v>
      </c>
      <c r="K958" s="7">
        <v>0.93235315773112437</v>
      </c>
      <c r="L958" s="7">
        <v>0.9700109648653108</v>
      </c>
      <c r="M958" s="7">
        <v>0.90219283944878859</v>
      </c>
      <c r="N958" s="8">
        <v>27420</v>
      </c>
      <c r="O958" s="7">
        <f t="shared" si="29"/>
        <v>0.99984482858294765</v>
      </c>
    </row>
    <row r="959" spans="1:15">
      <c r="A959" s="3" t="s">
        <v>993</v>
      </c>
      <c r="B959" s="4">
        <v>46213</v>
      </c>
      <c r="C959" s="5">
        <f t="shared" si="28"/>
        <v>46204</v>
      </c>
      <c r="D959" s="3" t="s">
        <v>22</v>
      </c>
      <c r="E959" s="2" t="s">
        <v>23</v>
      </c>
      <c r="F959" s="2" t="s">
        <v>18</v>
      </c>
      <c r="G959" s="2" t="s">
        <v>19</v>
      </c>
      <c r="H959" s="3" t="s">
        <v>24</v>
      </c>
      <c r="I959" s="6">
        <v>44</v>
      </c>
      <c r="J959" s="6">
        <v>42</v>
      </c>
      <c r="K959" s="7">
        <v>0.93039642301568792</v>
      </c>
      <c r="L959" s="7">
        <v>0.96341524888684682</v>
      </c>
      <c r="M959" s="7">
        <v>0.95217973719640725</v>
      </c>
      <c r="N959" s="8">
        <v>23620</v>
      </c>
      <c r="O959" s="7">
        <f t="shared" si="29"/>
        <v>0.94936552234441229</v>
      </c>
    </row>
    <row r="960" spans="1:15">
      <c r="A960" s="3" t="s">
        <v>994</v>
      </c>
      <c r="B960" s="4">
        <v>46213</v>
      </c>
      <c r="C960" s="5">
        <f t="shared" si="28"/>
        <v>46204</v>
      </c>
      <c r="D960" s="3" t="s">
        <v>26</v>
      </c>
      <c r="E960" s="2" t="s">
        <v>27</v>
      </c>
      <c r="F960" s="2" t="s">
        <v>28</v>
      </c>
      <c r="G960" s="2" t="s">
        <v>29</v>
      </c>
      <c r="H960" s="3" t="s">
        <v>20</v>
      </c>
      <c r="I960" s="6">
        <v>44</v>
      </c>
      <c r="J960" s="6">
        <v>44</v>
      </c>
      <c r="K960" s="7">
        <v>0.86899419961446434</v>
      </c>
      <c r="L960" s="7">
        <v>0.94336774946735857</v>
      </c>
      <c r="M960" s="7">
        <v>0.88062567524270929</v>
      </c>
      <c r="N960" s="8">
        <v>18690</v>
      </c>
      <c r="O960" s="7">
        <f t="shared" si="29"/>
        <v>0.93487884737226179</v>
      </c>
    </row>
    <row r="961" spans="1:15">
      <c r="A961" s="3" t="s">
        <v>995</v>
      </c>
      <c r="B961" s="4">
        <v>46213</v>
      </c>
      <c r="C961" s="5">
        <f t="shared" si="28"/>
        <v>46204</v>
      </c>
      <c r="D961" s="3" t="s">
        <v>34</v>
      </c>
      <c r="E961" s="2" t="s">
        <v>35</v>
      </c>
      <c r="F961" s="2" t="s">
        <v>36</v>
      </c>
      <c r="G961" s="2" t="s">
        <v>37</v>
      </c>
      <c r="H961" s="3" t="s">
        <v>20</v>
      </c>
      <c r="I961" s="6">
        <v>43</v>
      </c>
      <c r="J961" s="6">
        <v>41</v>
      </c>
      <c r="K961" s="7">
        <v>0.9472285338708567</v>
      </c>
      <c r="L961" s="7">
        <v>0.99815382855176638</v>
      </c>
      <c r="M961" s="7">
        <v>0.92064000358637665</v>
      </c>
      <c r="N961" s="8">
        <v>18490</v>
      </c>
      <c r="O961" s="7">
        <f t="shared" si="29"/>
        <v>0.95205355730496377</v>
      </c>
    </row>
    <row r="962" spans="1:15">
      <c r="A962" s="3" t="s">
        <v>996</v>
      </c>
      <c r="B962" s="4">
        <v>46216</v>
      </c>
      <c r="C962" s="5">
        <f t="shared" ref="C962:C1001" si="30">DATE(YEAR(B962),MONTH(B962),1)</f>
        <v>46204</v>
      </c>
      <c r="D962" s="3" t="s">
        <v>34</v>
      </c>
      <c r="E962" s="2" t="s">
        <v>35</v>
      </c>
      <c r="F962" s="2" t="s">
        <v>36</v>
      </c>
      <c r="G962" s="2" t="s">
        <v>37</v>
      </c>
      <c r="H962" s="3" t="s">
        <v>20</v>
      </c>
      <c r="I962" s="6">
        <v>33</v>
      </c>
      <c r="J962" s="6">
        <v>31</v>
      </c>
      <c r="K962" s="7">
        <v>0.92070677236944165</v>
      </c>
      <c r="L962" s="7">
        <v>0.95951015647138327</v>
      </c>
      <c r="M962" s="7">
        <v>0.9397717453062282</v>
      </c>
      <c r="N962" s="8">
        <v>13500</v>
      </c>
      <c r="O962" s="7">
        <f t="shared" ref="O962:O1001" si="31">MIN(J962/I962,1.2)*40%+K962*25%+L962*15%+M962*20%</f>
        <v>0.93781514138188926</v>
      </c>
    </row>
    <row r="963" spans="1:15">
      <c r="A963" s="3" t="s">
        <v>997</v>
      </c>
      <c r="B963" s="4">
        <v>46220</v>
      </c>
      <c r="C963" s="5">
        <f t="shared" si="30"/>
        <v>46204</v>
      </c>
      <c r="D963" s="3" t="s">
        <v>22</v>
      </c>
      <c r="E963" s="2" t="s">
        <v>23</v>
      </c>
      <c r="F963" s="2" t="s">
        <v>18</v>
      </c>
      <c r="G963" s="2" t="s">
        <v>19</v>
      </c>
      <c r="H963" s="3" t="s">
        <v>24</v>
      </c>
      <c r="I963" s="6">
        <v>36</v>
      </c>
      <c r="J963" s="6">
        <v>37</v>
      </c>
      <c r="K963" s="7">
        <v>0.91623947420003238</v>
      </c>
      <c r="L963" s="7">
        <v>0.96777942024336494</v>
      </c>
      <c r="M963" s="7">
        <v>0.96999511473251154</v>
      </c>
      <c r="N963" s="8">
        <v>21840</v>
      </c>
      <c r="O963" s="7">
        <f t="shared" si="31"/>
        <v>0.97933691564412628</v>
      </c>
    </row>
    <row r="964" spans="1:15">
      <c r="A964" s="3" t="s">
        <v>998</v>
      </c>
      <c r="B964" s="4">
        <v>46220</v>
      </c>
      <c r="C964" s="5">
        <f t="shared" si="30"/>
        <v>46204</v>
      </c>
      <c r="D964" s="3" t="s">
        <v>22</v>
      </c>
      <c r="E964" s="2" t="s">
        <v>23</v>
      </c>
      <c r="F964" s="2" t="s">
        <v>18</v>
      </c>
      <c r="G964" s="2" t="s">
        <v>19</v>
      </c>
      <c r="H964" s="3" t="s">
        <v>24</v>
      </c>
      <c r="I964" s="6">
        <v>30</v>
      </c>
      <c r="J964" s="6">
        <v>32</v>
      </c>
      <c r="K964" s="7">
        <v>0.9357082190231244</v>
      </c>
      <c r="L964" s="7">
        <v>0.94982862170630122</v>
      </c>
      <c r="M964" s="7">
        <v>0.98620039493709033</v>
      </c>
      <c r="N964" s="8">
        <v>18750</v>
      </c>
      <c r="O964" s="7">
        <f t="shared" si="31"/>
        <v>1.0003080936658111</v>
      </c>
    </row>
    <row r="965" spans="1:15">
      <c r="A965" s="3" t="s">
        <v>999</v>
      </c>
      <c r="B965" s="4">
        <v>46220</v>
      </c>
      <c r="C965" s="5">
        <f t="shared" si="30"/>
        <v>46204</v>
      </c>
      <c r="D965" s="3" t="s">
        <v>26</v>
      </c>
      <c r="E965" s="2" t="s">
        <v>27</v>
      </c>
      <c r="F965" s="2" t="s">
        <v>28</v>
      </c>
      <c r="G965" s="2" t="s">
        <v>29</v>
      </c>
      <c r="H965" s="3" t="s">
        <v>20</v>
      </c>
      <c r="I965" s="6">
        <v>50</v>
      </c>
      <c r="J965" s="6">
        <v>47</v>
      </c>
      <c r="K965" s="7">
        <v>0.90002826605027886</v>
      </c>
      <c r="L965" s="7">
        <v>0.95193754645951612</v>
      </c>
      <c r="M965" s="7">
        <v>0.85866254795507657</v>
      </c>
      <c r="N965" s="8">
        <v>21100</v>
      </c>
      <c r="O965" s="7">
        <f t="shared" si="31"/>
        <v>0.91553020807251251</v>
      </c>
    </row>
    <row r="966" spans="1:15">
      <c r="A966" s="3" t="s">
        <v>1000</v>
      </c>
      <c r="B966" s="4">
        <v>46220</v>
      </c>
      <c r="C966" s="5">
        <f t="shared" si="30"/>
        <v>46204</v>
      </c>
      <c r="D966" s="3" t="s">
        <v>34</v>
      </c>
      <c r="E966" s="2" t="s">
        <v>35</v>
      </c>
      <c r="F966" s="2" t="s">
        <v>36</v>
      </c>
      <c r="G966" s="2" t="s">
        <v>37</v>
      </c>
      <c r="H966" s="3" t="s">
        <v>20</v>
      </c>
      <c r="I966" s="6">
        <v>52</v>
      </c>
      <c r="J966" s="6">
        <v>56</v>
      </c>
      <c r="K966" s="7">
        <v>0.952178264352875</v>
      </c>
      <c r="L966" s="7">
        <v>0.93185396553870514</v>
      </c>
      <c r="M966" s="7">
        <v>0.93052050199293346</v>
      </c>
      <c r="N966" s="8">
        <v>28960</v>
      </c>
      <c r="O966" s="7">
        <f t="shared" si="31"/>
        <v>0.99469599208684201</v>
      </c>
    </row>
    <row r="967" spans="1:15">
      <c r="A967" s="3" t="s">
        <v>1001</v>
      </c>
      <c r="B967" s="4">
        <v>46220</v>
      </c>
      <c r="C967" s="5">
        <f t="shared" si="30"/>
        <v>46204</v>
      </c>
      <c r="D967" s="3" t="s">
        <v>39</v>
      </c>
      <c r="E967" s="2" t="s">
        <v>40</v>
      </c>
      <c r="F967" s="2" t="s">
        <v>36</v>
      </c>
      <c r="G967" s="2" t="s">
        <v>37</v>
      </c>
      <c r="H967" s="3" t="s">
        <v>24</v>
      </c>
      <c r="I967" s="6">
        <v>55</v>
      </c>
      <c r="J967" s="6">
        <v>66</v>
      </c>
      <c r="K967" s="7">
        <v>0.97589547838956792</v>
      </c>
      <c r="L967" s="7">
        <v>0.9825845922505555</v>
      </c>
      <c r="M967" s="7">
        <v>0.96287902935884806</v>
      </c>
      <c r="N967" s="8">
        <v>30610</v>
      </c>
      <c r="O967" s="7">
        <f t="shared" si="31"/>
        <v>1.0639373643067449</v>
      </c>
    </row>
    <row r="968" spans="1:15">
      <c r="A968" s="3" t="s">
        <v>1002</v>
      </c>
      <c r="B968" s="4">
        <v>46226</v>
      </c>
      <c r="C968" s="5">
        <f t="shared" si="30"/>
        <v>46204</v>
      </c>
      <c r="D968" s="3" t="s">
        <v>16</v>
      </c>
      <c r="E968" s="2" t="s">
        <v>17</v>
      </c>
      <c r="F968" s="2" t="s">
        <v>18</v>
      </c>
      <c r="G968" s="2" t="s">
        <v>19</v>
      </c>
      <c r="H968" s="3" t="s">
        <v>20</v>
      </c>
      <c r="I968" s="6">
        <v>46</v>
      </c>
      <c r="J968" s="6">
        <v>52</v>
      </c>
      <c r="K968" s="7">
        <v>0.96656366100299485</v>
      </c>
      <c r="L968" s="7">
        <v>0.96965462913519462</v>
      </c>
      <c r="M968" s="7">
        <v>0.95072592935152567</v>
      </c>
      <c r="N968" s="8">
        <v>26110</v>
      </c>
      <c r="O968" s="7">
        <f t="shared" si="31"/>
        <v>1.0294082085348113</v>
      </c>
    </row>
    <row r="969" spans="1:15">
      <c r="A969" s="3" t="s">
        <v>1003</v>
      </c>
      <c r="B969" s="4">
        <v>46227</v>
      </c>
      <c r="C969" s="5">
        <f t="shared" si="30"/>
        <v>46204</v>
      </c>
      <c r="D969" s="3" t="s">
        <v>34</v>
      </c>
      <c r="E969" s="2" t="s">
        <v>35</v>
      </c>
      <c r="F969" s="2" t="s">
        <v>36</v>
      </c>
      <c r="G969" s="2" t="s">
        <v>37</v>
      </c>
      <c r="H969" s="3" t="s">
        <v>20</v>
      </c>
      <c r="I969" s="6">
        <v>36</v>
      </c>
      <c r="J969" s="6">
        <v>33</v>
      </c>
      <c r="K969" s="7">
        <v>0.95110106700325558</v>
      </c>
      <c r="L969" s="7">
        <v>0.9525349101681585</v>
      </c>
      <c r="M969" s="7">
        <v>0.89610538789362337</v>
      </c>
      <c r="N969" s="8">
        <v>13810</v>
      </c>
      <c r="O969" s="7">
        <f t="shared" si="31"/>
        <v>0.92654324752142903</v>
      </c>
    </row>
    <row r="970" spans="1:15">
      <c r="A970" s="3" t="s">
        <v>1004</v>
      </c>
      <c r="B970" s="4">
        <v>46227</v>
      </c>
      <c r="C970" s="5">
        <f t="shared" si="30"/>
        <v>46204</v>
      </c>
      <c r="D970" s="3" t="s">
        <v>39</v>
      </c>
      <c r="E970" s="2" t="s">
        <v>40</v>
      </c>
      <c r="F970" s="2" t="s">
        <v>36</v>
      </c>
      <c r="G970" s="2" t="s">
        <v>37</v>
      </c>
      <c r="H970" s="3" t="s">
        <v>24</v>
      </c>
      <c r="I970" s="6">
        <v>33</v>
      </c>
      <c r="J970" s="6">
        <v>32</v>
      </c>
      <c r="K970" s="7">
        <v>0.98832158761850708</v>
      </c>
      <c r="L970" s="7">
        <v>0.98448154967365253</v>
      </c>
      <c r="M970" s="7">
        <v>0.96703680285475879</v>
      </c>
      <c r="N970" s="8">
        <v>16940</v>
      </c>
      <c r="O970" s="7">
        <f t="shared" si="31"/>
        <v>0.97603877780541437</v>
      </c>
    </row>
    <row r="971" spans="1:15">
      <c r="A971" s="3" t="s">
        <v>1005</v>
      </c>
      <c r="B971" s="4">
        <v>46227</v>
      </c>
      <c r="C971" s="5">
        <f t="shared" si="30"/>
        <v>46204</v>
      </c>
      <c r="D971" s="3" t="s">
        <v>39</v>
      </c>
      <c r="E971" s="2" t="s">
        <v>40</v>
      </c>
      <c r="F971" s="2" t="s">
        <v>36</v>
      </c>
      <c r="G971" s="2" t="s">
        <v>37</v>
      </c>
      <c r="H971" s="3" t="s">
        <v>24</v>
      </c>
      <c r="I971" s="6">
        <v>53</v>
      </c>
      <c r="J971" s="6">
        <v>62</v>
      </c>
      <c r="K971" s="7">
        <v>0.97493219671623843</v>
      </c>
      <c r="L971" s="7">
        <v>0.96721944273702554</v>
      </c>
      <c r="M971" s="7">
        <v>0.98442120237491615</v>
      </c>
      <c r="N971" s="8">
        <v>28290</v>
      </c>
      <c r="O971" s="7">
        <f t="shared" si="31"/>
        <v>1.0536247343664835</v>
      </c>
    </row>
    <row r="972" spans="1:15">
      <c r="A972" s="3" t="s">
        <v>1006</v>
      </c>
      <c r="B972" s="4">
        <v>46230</v>
      </c>
      <c r="C972" s="5">
        <f t="shared" si="30"/>
        <v>46204</v>
      </c>
      <c r="D972" s="3" t="s">
        <v>26</v>
      </c>
      <c r="E972" s="2" t="s">
        <v>27</v>
      </c>
      <c r="F972" s="2" t="s">
        <v>28</v>
      </c>
      <c r="G972" s="2" t="s">
        <v>29</v>
      </c>
      <c r="H972" s="3" t="s">
        <v>20</v>
      </c>
      <c r="I972" s="6">
        <v>39</v>
      </c>
      <c r="J972" s="6">
        <v>36</v>
      </c>
      <c r="K972" s="7">
        <v>0.93876081031861669</v>
      </c>
      <c r="L972" s="7">
        <v>0.94503952197541741</v>
      </c>
      <c r="M972" s="7">
        <v>0.87792009910341218</v>
      </c>
      <c r="N972" s="8">
        <v>15230</v>
      </c>
      <c r="O972" s="7">
        <f t="shared" si="31"/>
        <v>0.92126091992741843</v>
      </c>
    </row>
    <row r="973" spans="1:15">
      <c r="A973" s="3" t="s">
        <v>1007</v>
      </c>
      <c r="B973" s="4">
        <v>46230</v>
      </c>
      <c r="C973" s="5">
        <f t="shared" si="30"/>
        <v>46204</v>
      </c>
      <c r="D973" s="3" t="s">
        <v>43</v>
      </c>
      <c r="E973" s="2" t="s">
        <v>44</v>
      </c>
      <c r="F973" s="2" t="s">
        <v>28</v>
      </c>
      <c r="G973" s="2" t="s">
        <v>29</v>
      </c>
      <c r="H973" s="3" t="s">
        <v>45</v>
      </c>
      <c r="I973" s="6">
        <v>51</v>
      </c>
      <c r="J973" s="6">
        <v>49</v>
      </c>
      <c r="K973" s="7">
        <v>0.93971841933298772</v>
      </c>
      <c r="L973" s="7">
        <v>0.98469250824040466</v>
      </c>
      <c r="M973" s="7">
        <v>0.87062805845826663</v>
      </c>
      <c r="N973" s="8">
        <v>19210</v>
      </c>
      <c r="O973" s="7">
        <f t="shared" si="31"/>
        <v>0.94107281825115707</v>
      </c>
    </row>
    <row r="974" spans="1:15">
      <c r="A974" s="3" t="s">
        <v>1008</v>
      </c>
      <c r="B974" s="4">
        <v>46234</v>
      </c>
      <c r="C974" s="5">
        <f t="shared" si="30"/>
        <v>46204</v>
      </c>
      <c r="D974" s="3" t="s">
        <v>34</v>
      </c>
      <c r="E974" s="2" t="s">
        <v>35</v>
      </c>
      <c r="F974" s="2" t="s">
        <v>36</v>
      </c>
      <c r="G974" s="2" t="s">
        <v>37</v>
      </c>
      <c r="H974" s="3" t="s">
        <v>20</v>
      </c>
      <c r="I974" s="6">
        <v>35</v>
      </c>
      <c r="J974" s="6">
        <v>37</v>
      </c>
      <c r="K974" s="7">
        <v>0.91662809094106046</v>
      </c>
      <c r="L974" s="7">
        <v>0.9547181675187153</v>
      </c>
      <c r="M974" s="7">
        <v>0.91516743410456891</v>
      </c>
      <c r="N974" s="8">
        <v>19220</v>
      </c>
      <c r="O974" s="7">
        <f t="shared" si="31"/>
        <v>0.97825537754112912</v>
      </c>
    </row>
    <row r="975" spans="1:15">
      <c r="A975" s="3" t="s">
        <v>1009</v>
      </c>
      <c r="B975" s="4">
        <v>46234</v>
      </c>
      <c r="C975" s="5">
        <f t="shared" si="30"/>
        <v>46204</v>
      </c>
      <c r="D975" s="3" t="s">
        <v>34</v>
      </c>
      <c r="E975" s="2" t="s">
        <v>35</v>
      </c>
      <c r="F975" s="2" t="s">
        <v>36</v>
      </c>
      <c r="G975" s="2" t="s">
        <v>37</v>
      </c>
      <c r="H975" s="3" t="s">
        <v>20</v>
      </c>
      <c r="I975" s="6">
        <v>52</v>
      </c>
      <c r="J975" s="6">
        <v>48</v>
      </c>
      <c r="K975" s="7">
        <v>0.97923493654338001</v>
      </c>
      <c r="L975" s="7">
        <v>0.92194992269126042</v>
      </c>
      <c r="M975" s="7">
        <v>0.96499533715038044</v>
      </c>
      <c r="N975" s="8">
        <v>20060</v>
      </c>
      <c r="O975" s="7">
        <f t="shared" si="31"/>
        <v>0.94533105920037941</v>
      </c>
    </row>
    <row r="976" spans="1:15">
      <c r="A976" s="3" t="s">
        <v>1010</v>
      </c>
      <c r="B976" s="4">
        <v>46237</v>
      </c>
      <c r="C976" s="5">
        <f t="shared" si="30"/>
        <v>46235</v>
      </c>
      <c r="D976" s="3" t="s">
        <v>22</v>
      </c>
      <c r="E976" s="2" t="s">
        <v>23</v>
      </c>
      <c r="F976" s="2" t="s">
        <v>18</v>
      </c>
      <c r="G976" s="2" t="s">
        <v>19</v>
      </c>
      <c r="H976" s="3" t="s">
        <v>24</v>
      </c>
      <c r="I976" s="6">
        <v>28</v>
      </c>
      <c r="J976" s="6">
        <v>26</v>
      </c>
      <c r="K976" s="7">
        <v>0.92762853555890046</v>
      </c>
      <c r="L976" s="7">
        <v>0.93844335404721313</v>
      </c>
      <c r="M976" s="7">
        <v>0.98782637386972882</v>
      </c>
      <c r="N976" s="8">
        <v>15910</v>
      </c>
      <c r="O976" s="7">
        <f t="shared" si="31"/>
        <v>0.94166748319932436</v>
      </c>
    </row>
    <row r="977" spans="1:15">
      <c r="A977" s="3" t="s">
        <v>1011</v>
      </c>
      <c r="B977" s="4">
        <v>46239</v>
      </c>
      <c r="C977" s="5">
        <f t="shared" si="30"/>
        <v>46235</v>
      </c>
      <c r="D977" s="3" t="s">
        <v>34</v>
      </c>
      <c r="E977" s="2" t="s">
        <v>35</v>
      </c>
      <c r="F977" s="2" t="s">
        <v>36</v>
      </c>
      <c r="G977" s="2" t="s">
        <v>37</v>
      </c>
      <c r="H977" s="3" t="s">
        <v>20</v>
      </c>
      <c r="I977" s="6">
        <v>48</v>
      </c>
      <c r="J977" s="6">
        <v>46</v>
      </c>
      <c r="K977" s="7">
        <v>0.91857297912041913</v>
      </c>
      <c r="L977" s="7">
        <v>0.94614839358032155</v>
      </c>
      <c r="M977" s="7">
        <v>0.98123633548141354</v>
      </c>
      <c r="N977" s="8">
        <v>18720</v>
      </c>
      <c r="O977" s="7">
        <f t="shared" si="31"/>
        <v>0.95114610424676915</v>
      </c>
    </row>
    <row r="978" spans="1:15">
      <c r="A978" s="3" t="s">
        <v>1012</v>
      </c>
      <c r="B978" s="4">
        <v>46241</v>
      </c>
      <c r="C978" s="5">
        <f t="shared" si="30"/>
        <v>46235</v>
      </c>
      <c r="D978" s="3" t="s">
        <v>16</v>
      </c>
      <c r="E978" s="2" t="s">
        <v>17</v>
      </c>
      <c r="F978" s="2" t="s">
        <v>18</v>
      </c>
      <c r="G978" s="2" t="s">
        <v>19</v>
      </c>
      <c r="H978" s="3" t="s">
        <v>20</v>
      </c>
      <c r="I978" s="6">
        <v>51</v>
      </c>
      <c r="J978" s="6">
        <v>59</v>
      </c>
      <c r="K978" s="7">
        <v>0.95533566878258602</v>
      </c>
      <c r="L978" s="7">
        <v>0.94511982719944398</v>
      </c>
      <c r="M978" s="7">
        <v>0.91386604804022409</v>
      </c>
      <c r="N978" s="8">
        <v>34530</v>
      </c>
      <c r="O978" s="7">
        <f t="shared" si="31"/>
        <v>1.0261201989228237</v>
      </c>
    </row>
    <row r="979" spans="1:15">
      <c r="A979" s="3" t="s">
        <v>1013</v>
      </c>
      <c r="B979" s="4">
        <v>46244</v>
      </c>
      <c r="C979" s="5">
        <f t="shared" si="30"/>
        <v>46235</v>
      </c>
      <c r="D979" s="3" t="s">
        <v>22</v>
      </c>
      <c r="E979" s="2" t="s">
        <v>23</v>
      </c>
      <c r="F979" s="2" t="s">
        <v>18</v>
      </c>
      <c r="G979" s="2" t="s">
        <v>19</v>
      </c>
      <c r="H979" s="3" t="s">
        <v>24</v>
      </c>
      <c r="I979" s="6">
        <v>55</v>
      </c>
      <c r="J979" s="6">
        <v>51</v>
      </c>
      <c r="K979" s="7">
        <v>0.94211372861152676</v>
      </c>
      <c r="L979" s="7">
        <v>0.96560800246908296</v>
      </c>
      <c r="M979" s="7">
        <v>0.90794537397334407</v>
      </c>
      <c r="N979" s="8">
        <v>25360</v>
      </c>
      <c r="O979" s="7">
        <f t="shared" si="31"/>
        <v>0.93286779822700383</v>
      </c>
    </row>
    <row r="980" spans="1:15">
      <c r="A980" s="3" t="s">
        <v>1014</v>
      </c>
      <c r="B980" s="4">
        <v>46246</v>
      </c>
      <c r="C980" s="5">
        <f t="shared" si="30"/>
        <v>46235</v>
      </c>
      <c r="D980" s="3" t="s">
        <v>39</v>
      </c>
      <c r="E980" s="2" t="s">
        <v>40</v>
      </c>
      <c r="F980" s="2" t="s">
        <v>36</v>
      </c>
      <c r="G980" s="2" t="s">
        <v>37</v>
      </c>
      <c r="H980" s="3" t="s">
        <v>24</v>
      </c>
      <c r="I980" s="6">
        <v>48</v>
      </c>
      <c r="J980" s="6">
        <v>48</v>
      </c>
      <c r="K980" s="7">
        <v>0.94044950134641703</v>
      </c>
      <c r="L980" s="7">
        <v>0.95656925744223253</v>
      </c>
      <c r="M980" s="7">
        <v>0.97208908650347026</v>
      </c>
      <c r="N980" s="8">
        <v>22320</v>
      </c>
      <c r="O980" s="7">
        <f t="shared" si="31"/>
        <v>0.97301558125363319</v>
      </c>
    </row>
    <row r="981" spans="1:15">
      <c r="A981" s="3" t="s">
        <v>1015</v>
      </c>
      <c r="B981" s="4">
        <v>46247</v>
      </c>
      <c r="C981" s="5">
        <f t="shared" si="30"/>
        <v>46235</v>
      </c>
      <c r="D981" s="3" t="s">
        <v>22</v>
      </c>
      <c r="E981" s="2" t="s">
        <v>23</v>
      </c>
      <c r="F981" s="2" t="s">
        <v>18</v>
      </c>
      <c r="G981" s="2" t="s">
        <v>19</v>
      </c>
      <c r="H981" s="3" t="s">
        <v>24</v>
      </c>
      <c r="I981" s="6">
        <v>38</v>
      </c>
      <c r="J981" s="6">
        <v>43</v>
      </c>
      <c r="K981" s="7">
        <v>0.87355468135289294</v>
      </c>
      <c r="L981" s="7">
        <v>0.96124312093203623</v>
      </c>
      <c r="M981" s="7">
        <v>0.97646700284247145</v>
      </c>
      <c r="N981" s="8">
        <v>25920</v>
      </c>
      <c r="O981" s="7">
        <f t="shared" si="31"/>
        <v>1.0105001179938915</v>
      </c>
    </row>
    <row r="982" spans="1:15">
      <c r="A982" s="3" t="s">
        <v>1016</v>
      </c>
      <c r="B982" s="4">
        <v>46248</v>
      </c>
      <c r="C982" s="5">
        <f t="shared" si="30"/>
        <v>46235</v>
      </c>
      <c r="D982" s="3" t="s">
        <v>16</v>
      </c>
      <c r="E982" s="2" t="s">
        <v>17</v>
      </c>
      <c r="F982" s="2" t="s">
        <v>18</v>
      </c>
      <c r="G982" s="2" t="s">
        <v>19</v>
      </c>
      <c r="H982" s="3" t="s">
        <v>20</v>
      </c>
      <c r="I982" s="6">
        <v>35</v>
      </c>
      <c r="J982" s="6">
        <v>40</v>
      </c>
      <c r="K982" s="7">
        <v>0.94596768580567647</v>
      </c>
      <c r="L982" s="7">
        <v>0.95660014776182412</v>
      </c>
      <c r="M982" s="7">
        <v>0.93698973456449697</v>
      </c>
      <c r="N982" s="8">
        <v>22000</v>
      </c>
      <c r="O982" s="7">
        <f t="shared" si="31"/>
        <v>1.0245227476714494</v>
      </c>
    </row>
    <row r="983" spans="1:15">
      <c r="A983" s="3" t="s">
        <v>1017</v>
      </c>
      <c r="B983" s="4">
        <v>46248</v>
      </c>
      <c r="C983" s="5">
        <f t="shared" si="30"/>
        <v>46235</v>
      </c>
      <c r="D983" s="3" t="s">
        <v>43</v>
      </c>
      <c r="E983" s="2" t="s">
        <v>44</v>
      </c>
      <c r="F983" s="2" t="s">
        <v>28</v>
      </c>
      <c r="G983" s="2" t="s">
        <v>29</v>
      </c>
      <c r="H983" s="3" t="s">
        <v>45</v>
      </c>
      <c r="I983" s="6">
        <v>39</v>
      </c>
      <c r="J983" s="6">
        <v>39</v>
      </c>
      <c r="K983" s="7">
        <v>0.97329515818095591</v>
      </c>
      <c r="L983" s="7">
        <v>1</v>
      </c>
      <c r="M983" s="7">
        <v>0.95129453818202614</v>
      </c>
      <c r="N983" s="8">
        <v>17150</v>
      </c>
      <c r="O983" s="7">
        <f t="shared" si="31"/>
        <v>0.98358269718164437</v>
      </c>
    </row>
    <row r="984" spans="1:15">
      <c r="A984" s="3" t="s">
        <v>1018</v>
      </c>
      <c r="B984" s="4">
        <v>46248</v>
      </c>
      <c r="C984" s="5">
        <f t="shared" si="30"/>
        <v>46235</v>
      </c>
      <c r="D984" s="3" t="s">
        <v>34</v>
      </c>
      <c r="E984" s="2" t="s">
        <v>35</v>
      </c>
      <c r="F984" s="2" t="s">
        <v>36</v>
      </c>
      <c r="G984" s="2" t="s">
        <v>37</v>
      </c>
      <c r="H984" s="3" t="s">
        <v>20</v>
      </c>
      <c r="I984" s="6">
        <v>36</v>
      </c>
      <c r="J984" s="6">
        <v>36</v>
      </c>
      <c r="K984" s="7">
        <v>0.97296295943214262</v>
      </c>
      <c r="L984" s="7">
        <v>0.96128339415091746</v>
      </c>
      <c r="M984" s="7">
        <v>0.96703466636688096</v>
      </c>
      <c r="N984" s="8">
        <v>17480</v>
      </c>
      <c r="O984" s="7">
        <f t="shared" si="31"/>
        <v>0.98084018225404945</v>
      </c>
    </row>
    <row r="985" spans="1:15">
      <c r="A985" s="3" t="s">
        <v>1019</v>
      </c>
      <c r="B985" s="4">
        <v>46248</v>
      </c>
      <c r="C985" s="5">
        <f t="shared" si="30"/>
        <v>46235</v>
      </c>
      <c r="D985" s="3" t="s">
        <v>34</v>
      </c>
      <c r="E985" s="2" t="s">
        <v>35</v>
      </c>
      <c r="F985" s="2" t="s">
        <v>36</v>
      </c>
      <c r="G985" s="2" t="s">
        <v>37</v>
      </c>
      <c r="H985" s="3" t="s">
        <v>20</v>
      </c>
      <c r="I985" s="6">
        <v>41</v>
      </c>
      <c r="J985" s="6">
        <v>42</v>
      </c>
      <c r="K985" s="7">
        <v>0.91055509542916302</v>
      </c>
      <c r="L985" s="7">
        <v>0.919482750213648</v>
      </c>
      <c r="M985" s="7">
        <v>0.93681503765922036</v>
      </c>
      <c r="N985" s="8">
        <v>17700</v>
      </c>
      <c r="O985" s="7">
        <f t="shared" si="31"/>
        <v>0.96268029148215772</v>
      </c>
    </row>
    <row r="986" spans="1:15">
      <c r="A986" s="3" t="s">
        <v>1020</v>
      </c>
      <c r="B986" s="4">
        <v>46252</v>
      </c>
      <c r="C986" s="5">
        <f t="shared" si="30"/>
        <v>46235</v>
      </c>
      <c r="D986" s="3" t="s">
        <v>26</v>
      </c>
      <c r="E986" s="2" t="s">
        <v>27</v>
      </c>
      <c r="F986" s="2" t="s">
        <v>28</v>
      </c>
      <c r="G986" s="2" t="s">
        <v>29</v>
      </c>
      <c r="H986" s="3" t="s">
        <v>20</v>
      </c>
      <c r="I986" s="6">
        <v>44</v>
      </c>
      <c r="J986" s="6">
        <v>41</v>
      </c>
      <c r="K986" s="7">
        <v>0.89298143918459094</v>
      </c>
      <c r="L986" s="7">
        <v>0.9468238781464926</v>
      </c>
      <c r="M986" s="7">
        <v>0.86043654859695728</v>
      </c>
      <c r="N986" s="8">
        <v>17280</v>
      </c>
      <c r="O986" s="7">
        <f t="shared" si="31"/>
        <v>0.91008352396478587</v>
      </c>
    </row>
    <row r="987" spans="1:15">
      <c r="A987" s="3" t="s">
        <v>1021</v>
      </c>
      <c r="B987" s="4">
        <v>46253</v>
      </c>
      <c r="C987" s="5">
        <f t="shared" si="30"/>
        <v>46235</v>
      </c>
      <c r="D987" s="3" t="s">
        <v>34</v>
      </c>
      <c r="E987" s="2" t="s">
        <v>35</v>
      </c>
      <c r="F987" s="2" t="s">
        <v>36</v>
      </c>
      <c r="G987" s="2" t="s">
        <v>37</v>
      </c>
      <c r="H987" s="3" t="s">
        <v>20</v>
      </c>
      <c r="I987" s="6">
        <v>39</v>
      </c>
      <c r="J987" s="6">
        <v>43</v>
      </c>
      <c r="K987" s="7">
        <v>0.94557277735788892</v>
      </c>
      <c r="L987" s="7">
        <v>0.96161382663064565</v>
      </c>
      <c r="M987" s="7">
        <v>0.96101811862888176</v>
      </c>
      <c r="N987" s="8">
        <v>18500</v>
      </c>
      <c r="O987" s="7">
        <f t="shared" si="31"/>
        <v>1.0138645330854865</v>
      </c>
    </row>
    <row r="988" spans="1:15">
      <c r="A988" s="3" t="s">
        <v>1022</v>
      </c>
      <c r="B988" s="4">
        <v>46255</v>
      </c>
      <c r="C988" s="5">
        <f t="shared" si="30"/>
        <v>46235</v>
      </c>
      <c r="D988" s="3" t="s">
        <v>16</v>
      </c>
      <c r="E988" s="2" t="s">
        <v>17</v>
      </c>
      <c r="F988" s="2" t="s">
        <v>18</v>
      </c>
      <c r="G988" s="2" t="s">
        <v>19</v>
      </c>
      <c r="H988" s="3" t="s">
        <v>20</v>
      </c>
      <c r="I988" s="6">
        <v>48</v>
      </c>
      <c r="J988" s="6">
        <v>48</v>
      </c>
      <c r="K988" s="7">
        <v>0.90631302078542242</v>
      </c>
      <c r="L988" s="7">
        <v>0.9621816811017212</v>
      </c>
      <c r="M988" s="7">
        <v>0.95544540258168964</v>
      </c>
      <c r="N988" s="8">
        <v>24950</v>
      </c>
      <c r="O988" s="7">
        <f t="shared" si="31"/>
        <v>0.96199458787795189</v>
      </c>
    </row>
    <row r="989" spans="1:15">
      <c r="A989" s="3" t="s">
        <v>1023</v>
      </c>
      <c r="B989" s="4">
        <v>46255</v>
      </c>
      <c r="C989" s="5">
        <f t="shared" si="30"/>
        <v>46235</v>
      </c>
      <c r="D989" s="3" t="s">
        <v>22</v>
      </c>
      <c r="E989" s="2" t="s">
        <v>23</v>
      </c>
      <c r="F989" s="2" t="s">
        <v>18</v>
      </c>
      <c r="G989" s="2" t="s">
        <v>19</v>
      </c>
      <c r="H989" s="3" t="s">
        <v>24</v>
      </c>
      <c r="I989" s="6">
        <v>39</v>
      </c>
      <c r="J989" s="6">
        <v>38</v>
      </c>
      <c r="K989" s="7">
        <v>0.94865455661623521</v>
      </c>
      <c r="L989" s="7">
        <v>0.986584089471786</v>
      </c>
      <c r="M989" s="7">
        <v>0.91769851898016552</v>
      </c>
      <c r="N989" s="8">
        <v>21330</v>
      </c>
      <c r="O989" s="7">
        <f t="shared" si="31"/>
        <v>0.95843454611444945</v>
      </c>
    </row>
    <row r="990" spans="1:15">
      <c r="A990" s="3" t="s">
        <v>1024</v>
      </c>
      <c r="B990" s="4">
        <v>46255</v>
      </c>
      <c r="C990" s="5">
        <f t="shared" si="30"/>
        <v>46235</v>
      </c>
      <c r="D990" s="3" t="s">
        <v>26</v>
      </c>
      <c r="E990" s="2" t="s">
        <v>27</v>
      </c>
      <c r="F990" s="2" t="s">
        <v>28</v>
      </c>
      <c r="G990" s="2" t="s">
        <v>29</v>
      </c>
      <c r="H990" s="3" t="s">
        <v>20</v>
      </c>
      <c r="I990" s="6">
        <v>36</v>
      </c>
      <c r="J990" s="6">
        <v>36</v>
      </c>
      <c r="K990" s="7">
        <v>0.89763883031748715</v>
      </c>
      <c r="L990" s="7">
        <v>0.96130358718079578</v>
      </c>
      <c r="M990" s="7">
        <v>0.91692535574179412</v>
      </c>
      <c r="N990" s="8">
        <v>15230</v>
      </c>
      <c r="O990" s="7">
        <f t="shared" si="31"/>
        <v>0.95199031680485002</v>
      </c>
    </row>
    <row r="991" spans="1:15">
      <c r="A991" s="3" t="s">
        <v>1025</v>
      </c>
      <c r="B991" s="4">
        <v>46255</v>
      </c>
      <c r="C991" s="5">
        <f t="shared" si="30"/>
        <v>46235</v>
      </c>
      <c r="D991" s="3" t="s">
        <v>43</v>
      </c>
      <c r="E991" s="2" t="s">
        <v>44</v>
      </c>
      <c r="F991" s="2" t="s">
        <v>28</v>
      </c>
      <c r="G991" s="2" t="s">
        <v>29</v>
      </c>
      <c r="H991" s="3" t="s">
        <v>45</v>
      </c>
      <c r="I991" s="6">
        <v>45</v>
      </c>
      <c r="J991" s="6">
        <v>44</v>
      </c>
      <c r="K991" s="7">
        <v>0.98522064771188311</v>
      </c>
      <c r="L991" s="7">
        <v>0.96466702081848488</v>
      </c>
      <c r="M991" s="7">
        <v>0.8893064231297565</v>
      </c>
      <c r="N991" s="8">
        <v>18470</v>
      </c>
      <c r="O991" s="7">
        <f t="shared" si="31"/>
        <v>0.95997761078780597</v>
      </c>
    </row>
    <row r="992" spans="1:15">
      <c r="A992" s="3" t="s">
        <v>1026</v>
      </c>
      <c r="B992" s="4">
        <v>46255</v>
      </c>
      <c r="C992" s="5">
        <f t="shared" si="30"/>
        <v>46235</v>
      </c>
      <c r="D992" s="3" t="s">
        <v>34</v>
      </c>
      <c r="E992" s="2" t="s">
        <v>35</v>
      </c>
      <c r="F992" s="2" t="s">
        <v>36</v>
      </c>
      <c r="G992" s="2" t="s">
        <v>37</v>
      </c>
      <c r="H992" s="3" t="s">
        <v>20</v>
      </c>
      <c r="I992" s="6">
        <v>51</v>
      </c>
      <c r="J992" s="6">
        <v>49</v>
      </c>
      <c r="K992" s="7">
        <v>0.92522129783338369</v>
      </c>
      <c r="L992" s="7">
        <v>0.96418540550668042</v>
      </c>
      <c r="M992" s="7">
        <v>0.95091257283433039</v>
      </c>
      <c r="N992" s="8">
        <v>20000</v>
      </c>
      <c r="O992" s="7">
        <f t="shared" si="31"/>
        <v>0.95042937534141014</v>
      </c>
    </row>
    <row r="993" spans="1:15">
      <c r="A993" s="3" t="s">
        <v>1027</v>
      </c>
      <c r="B993" s="4">
        <v>46255</v>
      </c>
      <c r="C993" s="5">
        <f t="shared" si="30"/>
        <v>46235</v>
      </c>
      <c r="D993" s="3" t="s">
        <v>39</v>
      </c>
      <c r="E993" s="2" t="s">
        <v>40</v>
      </c>
      <c r="F993" s="2" t="s">
        <v>36</v>
      </c>
      <c r="G993" s="2" t="s">
        <v>37</v>
      </c>
      <c r="H993" s="3" t="s">
        <v>24</v>
      </c>
      <c r="I993" s="6">
        <v>50</v>
      </c>
      <c r="J993" s="6">
        <v>58</v>
      </c>
      <c r="K993" s="7">
        <v>0.91457489723751983</v>
      </c>
      <c r="L993" s="7">
        <v>0.95665140465768139</v>
      </c>
      <c r="M993" s="7">
        <v>0.96751549380291813</v>
      </c>
      <c r="N993" s="8">
        <v>28470</v>
      </c>
      <c r="O993" s="7">
        <f t="shared" si="31"/>
        <v>1.0296445337686158</v>
      </c>
    </row>
    <row r="994" spans="1:15">
      <c r="A994" s="3" t="s">
        <v>1028</v>
      </c>
      <c r="B994" s="4">
        <v>46259</v>
      </c>
      <c r="C994" s="5">
        <f t="shared" si="30"/>
        <v>46235</v>
      </c>
      <c r="D994" s="3" t="s">
        <v>26</v>
      </c>
      <c r="E994" s="2" t="s">
        <v>27</v>
      </c>
      <c r="F994" s="2" t="s">
        <v>28</v>
      </c>
      <c r="G994" s="2" t="s">
        <v>29</v>
      </c>
      <c r="H994" s="3" t="s">
        <v>20</v>
      </c>
      <c r="I994" s="6">
        <v>28</v>
      </c>
      <c r="J994" s="6">
        <v>29</v>
      </c>
      <c r="K994" s="7">
        <v>0.91989845490981648</v>
      </c>
      <c r="L994" s="7">
        <v>0.92932498740692593</v>
      </c>
      <c r="M994" s="7">
        <v>0.83904669364813811</v>
      </c>
      <c r="N994" s="8">
        <v>11170</v>
      </c>
      <c r="O994" s="7">
        <f t="shared" si="31"/>
        <v>0.95146841485383504</v>
      </c>
    </row>
    <row r="995" spans="1:15">
      <c r="A995" s="3" t="s">
        <v>1029</v>
      </c>
      <c r="B995" s="4">
        <v>46260</v>
      </c>
      <c r="C995" s="5">
        <f t="shared" si="30"/>
        <v>46235</v>
      </c>
      <c r="D995" s="3" t="s">
        <v>22</v>
      </c>
      <c r="E995" s="2" t="s">
        <v>23</v>
      </c>
      <c r="F995" s="2" t="s">
        <v>18</v>
      </c>
      <c r="G995" s="2" t="s">
        <v>19</v>
      </c>
      <c r="H995" s="3" t="s">
        <v>24</v>
      </c>
      <c r="I995" s="6">
        <v>32</v>
      </c>
      <c r="J995" s="6">
        <v>36</v>
      </c>
      <c r="K995" s="7">
        <v>0.8974085240516736</v>
      </c>
      <c r="L995" s="7">
        <v>0.955292743928989</v>
      </c>
      <c r="M995" s="7">
        <v>0.95401148810542225</v>
      </c>
      <c r="N995" s="8">
        <v>22480</v>
      </c>
      <c r="O995" s="7">
        <f t="shared" si="31"/>
        <v>1.0084483402233513</v>
      </c>
    </row>
    <row r="996" spans="1:15">
      <c r="A996" s="3" t="s">
        <v>1030</v>
      </c>
      <c r="B996" s="4">
        <v>46261</v>
      </c>
      <c r="C996" s="5">
        <f t="shared" si="30"/>
        <v>46235</v>
      </c>
      <c r="D996" s="3" t="s">
        <v>43</v>
      </c>
      <c r="E996" s="2" t="s">
        <v>44</v>
      </c>
      <c r="F996" s="2" t="s">
        <v>28</v>
      </c>
      <c r="G996" s="2" t="s">
        <v>29</v>
      </c>
      <c r="H996" s="3" t="s">
        <v>45</v>
      </c>
      <c r="I996" s="6">
        <v>35</v>
      </c>
      <c r="J996" s="6">
        <v>39</v>
      </c>
      <c r="K996" s="7">
        <v>0.90751938719465863</v>
      </c>
      <c r="L996" s="7">
        <v>0.99688596337552304</v>
      </c>
      <c r="M996" s="7">
        <v>0.90817271182009851</v>
      </c>
      <c r="N996" s="8">
        <v>15920</v>
      </c>
      <c r="O996" s="7">
        <f t="shared" si="31"/>
        <v>1.0037615693832986</v>
      </c>
    </row>
    <row r="997" spans="1:15">
      <c r="A997" s="3" t="s">
        <v>1031</v>
      </c>
      <c r="B997" s="4">
        <v>46261</v>
      </c>
      <c r="C997" s="5">
        <f t="shared" si="30"/>
        <v>46235</v>
      </c>
      <c r="D997" s="3" t="s">
        <v>34</v>
      </c>
      <c r="E997" s="2" t="s">
        <v>35</v>
      </c>
      <c r="F997" s="2" t="s">
        <v>36</v>
      </c>
      <c r="G997" s="2" t="s">
        <v>37</v>
      </c>
      <c r="H997" s="3" t="s">
        <v>20</v>
      </c>
      <c r="I997" s="6">
        <v>51</v>
      </c>
      <c r="J997" s="6">
        <v>58</v>
      </c>
      <c r="K997" s="7">
        <v>0.93399634689059619</v>
      </c>
      <c r="L997" s="7">
        <v>0.98232774007683388</v>
      </c>
      <c r="M997" s="7">
        <v>0.9622880779774079</v>
      </c>
      <c r="N997" s="8">
        <v>26870</v>
      </c>
      <c r="O997" s="7">
        <f t="shared" si="31"/>
        <v>1.0282078241139694</v>
      </c>
    </row>
    <row r="998" spans="1:15">
      <c r="A998" s="3" t="s">
        <v>1032</v>
      </c>
      <c r="B998" s="4">
        <v>46261</v>
      </c>
      <c r="C998" s="5">
        <f t="shared" si="30"/>
        <v>46235</v>
      </c>
      <c r="D998" s="3" t="s">
        <v>39</v>
      </c>
      <c r="E998" s="2" t="s">
        <v>40</v>
      </c>
      <c r="F998" s="2" t="s">
        <v>36</v>
      </c>
      <c r="G998" s="2" t="s">
        <v>37</v>
      </c>
      <c r="H998" s="3" t="s">
        <v>24</v>
      </c>
      <c r="I998" s="6">
        <v>45</v>
      </c>
      <c r="J998" s="6">
        <v>51</v>
      </c>
      <c r="K998" s="7">
        <v>0.99134810557618858</v>
      </c>
      <c r="L998" s="7">
        <v>0.94355837206745496</v>
      </c>
      <c r="M998" s="7">
        <v>0.92671574989918537</v>
      </c>
      <c r="N998" s="8">
        <v>27620</v>
      </c>
      <c r="O998" s="7">
        <f t="shared" si="31"/>
        <v>1.0280472655173358</v>
      </c>
    </row>
    <row r="999" spans="1:15">
      <c r="A999" s="3" t="s">
        <v>1033</v>
      </c>
      <c r="B999" s="4">
        <v>46262</v>
      </c>
      <c r="C999" s="5">
        <f t="shared" si="30"/>
        <v>46235</v>
      </c>
      <c r="D999" s="3" t="s">
        <v>26</v>
      </c>
      <c r="E999" s="2" t="s">
        <v>27</v>
      </c>
      <c r="F999" s="2" t="s">
        <v>28</v>
      </c>
      <c r="G999" s="2" t="s">
        <v>29</v>
      </c>
      <c r="H999" s="3" t="s">
        <v>20</v>
      </c>
      <c r="I999" s="6">
        <v>44</v>
      </c>
      <c r="J999" s="6">
        <v>40</v>
      </c>
      <c r="K999" s="7">
        <v>0.88466962012559525</v>
      </c>
      <c r="L999" s="7">
        <v>0.9357171371164329</v>
      </c>
      <c r="M999" s="7">
        <v>0.92248511826794699</v>
      </c>
      <c r="N999" s="8">
        <v>15200</v>
      </c>
      <c r="O999" s="7">
        <f t="shared" si="31"/>
        <v>0.90965836288881685</v>
      </c>
    </row>
    <row r="1000" spans="1:15">
      <c r="A1000" s="3" t="s">
        <v>1034</v>
      </c>
      <c r="B1000" s="4">
        <v>46265</v>
      </c>
      <c r="C1000" s="5">
        <f t="shared" si="30"/>
        <v>46235</v>
      </c>
      <c r="D1000" s="3" t="s">
        <v>26</v>
      </c>
      <c r="E1000" s="2" t="s">
        <v>27</v>
      </c>
      <c r="F1000" s="2" t="s">
        <v>28</v>
      </c>
      <c r="G1000" s="2" t="s">
        <v>29</v>
      </c>
      <c r="H1000" s="3" t="s">
        <v>20</v>
      </c>
      <c r="I1000" s="6">
        <v>35</v>
      </c>
      <c r="J1000" s="6">
        <v>34</v>
      </c>
      <c r="K1000" s="7">
        <v>0.89598287389454823</v>
      </c>
      <c r="L1000" s="7">
        <v>0.94112405233212593</v>
      </c>
      <c r="M1000" s="7">
        <v>0.85886894690330029</v>
      </c>
      <c r="N1000" s="8">
        <v>15280</v>
      </c>
      <c r="O1000" s="7">
        <f t="shared" si="31"/>
        <v>0.92550954427554455</v>
      </c>
    </row>
    <row r="1001" spans="1:15">
      <c r="A1001" s="3" t="s">
        <v>1035</v>
      </c>
      <c r="B1001" s="4">
        <v>46265</v>
      </c>
      <c r="C1001" s="5">
        <f t="shared" si="30"/>
        <v>46235</v>
      </c>
      <c r="D1001" s="3" t="s">
        <v>34</v>
      </c>
      <c r="E1001" s="2" t="s">
        <v>35</v>
      </c>
      <c r="F1001" s="2" t="s">
        <v>36</v>
      </c>
      <c r="G1001" s="2" t="s">
        <v>37</v>
      </c>
      <c r="H1001" s="3" t="s">
        <v>20</v>
      </c>
      <c r="I1001" s="6">
        <v>30</v>
      </c>
      <c r="J1001" s="6">
        <v>27</v>
      </c>
      <c r="K1001" s="7">
        <v>0.90369545748189606</v>
      </c>
      <c r="L1001" s="7">
        <v>0.95900622963531112</v>
      </c>
      <c r="M1001" s="7">
        <v>0.94211100406033532</v>
      </c>
      <c r="N1001" s="8">
        <v>11560</v>
      </c>
      <c r="O1001" s="7">
        <f t="shared" si="31"/>
        <v>0.91819699962783785</v>
      </c>
    </row>
  </sheetData>
  <conditionalFormatting sqref="K2:M1001">
    <cfRule type="colorScale" priority="1">
      <colorScale>
        <cfvo type="min"/>
        <cfvo type="percentile" val="50"/>
        <cfvo type="max"/>
        <color rgb="FFFDE2E2"/>
        <color rgb="FFFFF3BF"/>
        <color rgb="FFD9F2E6"/>
      </colorScale>
    </cfRule>
  </conditionalFormatting>
  <conditionalFormatting sqref="N2:N1001"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{D58D504A-909C-81D0-A6E9-BB5CF7174220}</x14:id>
        </ext>
      </extLst>
    </cfRule>
  </conditionalFormatting>
  <conditionalFormatting sqref="O2:O1001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8D504A-909C-81D0-A6E9-BB5CF7174220}">
            <x14:dataBar>
              <x14:cfvo type="min"/>
              <x14:cfvo type="max"/>
              <x14:negativeFillColor auto="1"/>
              <x14:axisColor auto="1"/>
            </x14:dataBar>
          </x14:cfRule>
          <xm:sqref>N2:N1001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43ED-F0A3-4409-A1D0-8B5140C4C9F5}">
  <dimension ref="A1:BQ22"/>
  <sheetViews>
    <sheetView tabSelected="1" zoomScale="84" zoomScaleNormal="84" workbookViewId="0">
      <selection activeCell="AG12" sqref="AG12"/>
    </sheetView>
  </sheetViews>
  <sheetFormatPr defaultRowHeight="13.8"/>
  <cols>
    <col min="1" max="1" width="1.09765625" style="12" customWidth="1"/>
    <col min="2" max="2" width="10.59765625" style="12" customWidth="1"/>
    <col min="3" max="3" width="9.5" style="12" bestFit="1" customWidth="1"/>
    <col min="4" max="4" width="9.8984375" style="12" bestFit="1" customWidth="1"/>
    <col min="5" max="5" width="6.796875" style="12" customWidth="1"/>
    <col min="6" max="6" width="2" style="12" customWidth="1"/>
    <col min="7" max="7" width="8.59765625" style="12" customWidth="1"/>
    <col min="8" max="9" width="8.796875" style="12"/>
    <col min="10" max="10" width="6.796875" style="12" customWidth="1"/>
    <col min="11" max="11" width="1.796875" style="12" customWidth="1"/>
    <col min="12" max="12" width="8.59765625" style="12" customWidth="1"/>
    <col min="13" max="14" width="8.796875" style="12"/>
    <col min="15" max="15" width="6.796875" style="12" customWidth="1"/>
    <col min="16" max="16" width="1.59765625" style="12" customWidth="1"/>
    <col min="17" max="17" width="8.59765625" style="12" customWidth="1"/>
    <col min="18" max="19" width="8.796875" style="12"/>
    <col min="20" max="20" width="6.796875" style="12" customWidth="1"/>
    <col min="21" max="21" width="1.69921875" style="12" customWidth="1"/>
    <col min="22" max="22" width="8.59765625" style="12" customWidth="1"/>
    <col min="23" max="24" width="8.796875" style="12"/>
    <col min="25" max="25" width="6.796875" style="12" customWidth="1"/>
    <col min="26" max="26" width="1.796875" style="12" customWidth="1"/>
    <col min="27" max="31" width="8.796875" style="12"/>
    <col min="32" max="32" width="4.59765625" style="12" customWidth="1"/>
    <col min="33" max="40" width="8.796875" style="12"/>
    <col min="41" max="41" width="14.09765625" style="12" bestFit="1" customWidth="1"/>
    <col min="42" max="42" width="8.796875" style="12"/>
    <col min="43" max="43" width="9.296875" style="12" bestFit="1" customWidth="1"/>
    <col min="44" max="16384" width="8.796875" style="12"/>
  </cols>
  <sheetData>
    <row r="1" spans="1:69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69">
      <c r="A2" s="33"/>
      <c r="B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 t="str">
        <f>IFERROR((BA11-BA12)/BA12,"")</f>
        <v/>
      </c>
      <c r="P2" s="33"/>
      <c r="Q2" s="33"/>
      <c r="R2" s="33"/>
      <c r="S2" s="33"/>
      <c r="T2" s="33"/>
      <c r="U2" s="33"/>
    </row>
    <row r="3" spans="1:69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69" ht="4.8" customHeight="1"/>
    <row r="5" spans="1:69" ht="15.6">
      <c r="B5" s="20"/>
      <c r="C5" s="18" t="s">
        <v>2</v>
      </c>
      <c r="D5" s="18"/>
      <c r="E5" s="18"/>
      <c r="G5" s="20"/>
      <c r="H5" s="18" t="s">
        <v>4</v>
      </c>
      <c r="I5" s="18"/>
      <c r="J5" s="18"/>
      <c r="L5" s="20"/>
      <c r="M5" s="18" t="s">
        <v>5</v>
      </c>
      <c r="N5" s="18"/>
      <c r="O5" s="18"/>
      <c r="Q5" s="20"/>
      <c r="R5" s="18" t="s">
        <v>6</v>
      </c>
      <c r="S5" s="18"/>
      <c r="T5" s="18"/>
      <c r="V5" s="20"/>
      <c r="W5" s="18" t="s">
        <v>7</v>
      </c>
      <c r="X5" s="18"/>
      <c r="Y5" s="18"/>
      <c r="AA5" s="22"/>
      <c r="AB5" s="22"/>
      <c r="AC5" s="22"/>
      <c r="AD5" s="22"/>
      <c r="AE5" s="22"/>
    </row>
    <row r="6" spans="1:69" ht="12.6" customHeight="1">
      <c r="B6" s="20"/>
      <c r="C6" s="21">
        <v>45566</v>
      </c>
      <c r="D6" s="21"/>
      <c r="E6" s="19"/>
      <c r="G6" s="20"/>
      <c r="H6" s="18" t="s">
        <v>1070</v>
      </c>
      <c r="I6" s="18"/>
      <c r="J6" s="19"/>
      <c r="L6" s="20"/>
      <c r="M6" s="18" t="s">
        <v>28</v>
      </c>
      <c r="N6" s="18"/>
      <c r="O6" s="19"/>
      <c r="Q6" s="20"/>
      <c r="R6" s="18" t="s">
        <v>1070</v>
      </c>
      <c r="S6" s="18"/>
      <c r="T6" s="19"/>
      <c r="V6" s="20"/>
      <c r="W6" s="18" t="s">
        <v>1070</v>
      </c>
      <c r="X6" s="18"/>
      <c r="Y6" s="19"/>
      <c r="AA6" s="22"/>
      <c r="AB6" s="22"/>
      <c r="AC6" s="22"/>
      <c r="AD6" s="22"/>
      <c r="AE6" s="22"/>
    </row>
    <row r="7" spans="1:69" ht="11.4" customHeight="1">
      <c r="B7" s="20"/>
      <c r="C7" s="21"/>
      <c r="D7" s="21"/>
      <c r="E7" s="19"/>
      <c r="G7" s="20"/>
      <c r="H7" s="18"/>
      <c r="I7" s="18"/>
      <c r="J7" s="19"/>
      <c r="L7" s="20"/>
      <c r="M7" s="18"/>
      <c r="N7" s="18"/>
      <c r="O7" s="19"/>
      <c r="Q7" s="20"/>
      <c r="R7" s="18"/>
      <c r="S7" s="18"/>
      <c r="T7" s="19"/>
      <c r="V7" s="20"/>
      <c r="W7" s="18"/>
      <c r="X7" s="18"/>
      <c r="Y7" s="19"/>
      <c r="AA7" s="22"/>
      <c r="AB7" s="22"/>
      <c r="AC7" s="22"/>
      <c r="AD7" s="22"/>
      <c r="AE7" s="22"/>
    </row>
    <row r="8" spans="1:69" ht="11.4" customHeight="1">
      <c r="AP8" s="14"/>
      <c r="AQ8" s="14"/>
      <c r="AR8" s="14"/>
    </row>
    <row r="9" spans="1:69">
      <c r="AP9" s="14"/>
      <c r="AQ9" s="35">
        <f>IFERROR((AO11-AO12)/AO12,"")</f>
        <v>0.22402039860540146</v>
      </c>
      <c r="AR9" s="14"/>
    </row>
    <row r="10" spans="1:69" ht="18" customHeight="1">
      <c r="AP10" s="14"/>
      <c r="AQ10" s="14"/>
      <c r="AR10" s="14"/>
      <c r="AU10" s="16">
        <f>AVERAGEIFS(Performance_Data!O:O,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0.93563229505103362</v>
      </c>
      <c r="AV10" s="14"/>
      <c r="AW10" s="14"/>
      <c r="AZ10" s="16">
        <f>AVERAGEIFS(Performance_Data!L:L,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0.95372763954571504</v>
      </c>
      <c r="BA10" s="14"/>
      <c r="BB10" s="14"/>
      <c r="BE10" s="16">
        <f>AVERAGEIFS(Performance_Data!K:K,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0.9187991941561966</v>
      </c>
      <c r="BF10" s="14"/>
      <c r="BG10" s="14"/>
      <c r="BJ10" s="16">
        <f>AVERAGEIFS(Performance_Data!M:M,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0.90640578139924877</v>
      </c>
      <c r="BK10" s="14"/>
      <c r="BL10" s="14"/>
      <c r="BO10" s="17">
        <f>AVERAGEIFS(Performance_Data!I:I,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42.428571428571431</v>
      </c>
      <c r="BP10" s="14"/>
      <c r="BQ10" s="14"/>
    </row>
    <row r="11" spans="1:69">
      <c r="AO11" s="30">
        <f>SUMIFS(Performance_Data!N:N,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235220</v>
      </c>
      <c r="AP11" s="15">
        <f>IFERROR(($AO$11-$AO$12)/$AO$12,"")</f>
        <v>0.22402039860540146</v>
      </c>
      <c r="AQ11" s="15">
        <f>IFERROR(($AO$11-$AO$12)/$AO$12,"")</f>
        <v>0.22402039860540146</v>
      </c>
      <c r="AR11" s="14"/>
      <c r="AU11" s="12">
        <f>AVERAGEIFS(Performance_Data!O:O,
Performance_Data!C:C,EDATE($C$6,-1),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0.92683865681377353</v>
      </c>
      <c r="AV11" s="15">
        <f>IFERROR((AU10-AU11)/AU11,"")</f>
        <v>9.4877767264156827E-3</v>
      </c>
      <c r="AW11" s="14"/>
      <c r="AZ11" s="16">
        <f>AVERAGEIFS(Performance_Data!L:L,
Performance_Data!C:C,EDATE($C$6,-1),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0.95087209297641773</v>
      </c>
      <c r="BA11" s="15">
        <f>IFERROR((AZ10-AZ11)/AZ11,"")</f>
        <v>3.0030816872108346E-3</v>
      </c>
      <c r="BB11" s="14"/>
      <c r="BE11" s="16">
        <f>AVERAGEIFS(Performance_Data!K:K,
Performance_Data!C:C,EDATE($C$6,-1),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0.91942814736957035</v>
      </c>
      <c r="BF11" s="15">
        <f>IFERROR((BE10-BE11)/BE11,"")</f>
        <v>-6.8407000065546044E-4</v>
      </c>
      <c r="BG11" s="14"/>
      <c r="BJ11" s="16">
        <f>AVERAGEIFS(Performance_Data!M:M,
Performance_Data!C:C,EDATE($C$6,-1),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0.90263063863409176</v>
      </c>
      <c r="BK11" s="15">
        <f>IFERROR((BJ10-BJ11)/BJ11,"")</f>
        <v>4.1823782658981607E-3</v>
      </c>
      <c r="BL11" s="14"/>
      <c r="BO11" s="17">
        <f>AVERAGEIFS(Performance_Data!J:J,
Performance_Data!C:C,IF(Dashbourd!$C$6="All","&lt;&gt;",Dashbourd!$C$6),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40.642857142857146</v>
      </c>
      <c r="BP11" s="15">
        <f>IFERROR((BO10-BO11)/BO11,"")</f>
        <v>4.3936731107205598E-2</v>
      </c>
      <c r="BQ11" s="14"/>
    </row>
    <row r="12" spans="1:69">
      <c r="AO12" s="24">
        <f>SUMIFS(Performance_Data!N:N,
Performance_Data!C:C,EDATE(Dashbourd!$C$6,-1),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192170</v>
      </c>
      <c r="AP12" s="14"/>
      <c r="AQ12" s="14"/>
      <c r="AR12" s="14"/>
      <c r="AU12" s="14"/>
      <c r="AV12" s="14"/>
      <c r="AW12" s="14"/>
      <c r="AZ12" s="14"/>
      <c r="BA12" s="14"/>
      <c r="BB12" s="15"/>
      <c r="BE12" s="14"/>
      <c r="BF12" s="14"/>
      <c r="BG12" s="14"/>
      <c r="BK12" s="14"/>
      <c r="BL12" s="14"/>
      <c r="BP12" s="14"/>
      <c r="BQ12" s="14"/>
    </row>
    <row r="13" spans="1:69">
      <c r="AO13" s="12">
        <f>SUMIFS(Performance_Data!N:N,
Performance_Data!C:C,EDATE(Dashbourd!$C$6,-2),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166970</v>
      </c>
    </row>
    <row r="14" spans="1:69">
      <c r="AO14" s="12">
        <f>SUMIFS(Performance_Data!N:N,
Performance_Data!C:C,EDATE(Dashbourd!$C$6,-3),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182810</v>
      </c>
    </row>
    <row r="15" spans="1:69">
      <c r="AO15" s="12">
        <f>SUMIFS(Performance_Data!N:N,
Performance_Data!C:C,EDATE(Dashbourd!$C$6,-4),
Performance_Data!E:E,IF(Dashbourd!$H$6="All","&lt;&gt;",Dashbourd!$H$6),
Performance_Data!F:F,IF(Dashbourd!$M$6="All","&lt;&gt;",Dashbourd!$M$6),
Performance_Data!G:G,IF(Dashbourd!$R$6="All","&lt;&gt;",Dashbourd!$R$6),
Performance_Data!H:H,IF(Dashbourd!$W$6="All","&lt;&gt;",Dashbourd!$W$6))</f>
        <v>114830</v>
      </c>
    </row>
    <row r="22" spans="5:10">
      <c r="E22" s="13" t="str">
        <f>IFERROR((C22-D24)/D24,"")</f>
        <v/>
      </c>
      <c r="J22" s="13" t="str">
        <f>IFERROR((H22-H23)/H23,"")</f>
        <v/>
      </c>
    </row>
  </sheetData>
  <mergeCells count="21">
    <mergeCell ref="AA5:AE7"/>
    <mergeCell ref="Q5:Q7"/>
    <mergeCell ref="V5:V7"/>
    <mergeCell ref="W5:Y5"/>
    <mergeCell ref="W6:X7"/>
    <mergeCell ref="Y6:Y7"/>
    <mergeCell ref="R5:T5"/>
    <mergeCell ref="R6:S7"/>
    <mergeCell ref="T6:T7"/>
    <mergeCell ref="B5:B7"/>
    <mergeCell ref="C5:E5"/>
    <mergeCell ref="C6:D7"/>
    <mergeCell ref="E6:E7"/>
    <mergeCell ref="G5:G7"/>
    <mergeCell ref="H5:J5"/>
    <mergeCell ref="H6:I7"/>
    <mergeCell ref="J6:J7"/>
    <mergeCell ref="L5:L7"/>
    <mergeCell ref="M5:O5"/>
    <mergeCell ref="M6:N7"/>
    <mergeCell ref="O6:O7"/>
  </mergeCells>
  <conditionalFormatting sqref="E22">
    <cfRule type="cellIs" dxfId="41" priority="40" operator="greaterThan">
      <formula>0</formula>
    </cfRule>
    <cfRule type="cellIs" dxfId="40" priority="41" operator="greaterThan">
      <formula>0</formula>
    </cfRule>
    <cfRule type="cellIs" dxfId="39" priority="42" operator="lessThan">
      <formula>0</formula>
    </cfRule>
  </conditionalFormatting>
  <conditionalFormatting sqref="J22">
    <cfRule type="cellIs" dxfId="38" priority="34" operator="greaterThan">
      <formula>0</formula>
    </cfRule>
    <cfRule type="cellIs" dxfId="37" priority="35" operator="greaterThan">
      <formula>0</formula>
    </cfRule>
    <cfRule type="cellIs" dxfId="36" priority="36" operator="lessThan">
      <formula>0</formula>
    </cfRule>
  </conditionalFormatting>
  <conditionalFormatting sqref="AQ11">
    <cfRule type="cellIs" dxfId="35" priority="43" operator="greaterThan">
      <formula>0</formula>
    </cfRule>
    <cfRule type="cellIs" dxfId="34" priority="44" operator="greaterThan">
      <formula>0</formula>
    </cfRule>
    <cfRule type="cellIs" dxfId="33" priority="45" operator="lessThan">
      <formula>0</formula>
    </cfRule>
  </conditionalFormatting>
  <conditionalFormatting sqref="AV11">
    <cfRule type="cellIs" dxfId="32" priority="37" operator="greaterThan">
      <formula>0</formula>
    </cfRule>
    <cfRule type="cellIs" dxfId="31" priority="38" operator="greaterThan">
      <formula>0</formula>
    </cfRule>
    <cfRule type="cellIs" dxfId="30" priority="39" operator="lessThan">
      <formula>0</formula>
    </cfRule>
  </conditionalFormatting>
  <conditionalFormatting sqref="BA11">
    <cfRule type="cellIs" dxfId="29" priority="28" operator="greaterThan">
      <formula>0</formula>
    </cfRule>
    <cfRule type="cellIs" dxfId="28" priority="29" operator="greaterThan">
      <formula>0</formula>
    </cfRule>
    <cfRule type="cellIs" dxfId="27" priority="30" operator="lessThan">
      <formula>0</formula>
    </cfRule>
  </conditionalFormatting>
  <conditionalFormatting sqref="BB12">
    <cfRule type="cellIs" dxfId="26" priority="31" operator="greaterThan">
      <formula>0</formula>
    </cfRule>
    <cfRule type="cellIs" dxfId="25" priority="32" operator="greaterThan">
      <formula>0</formula>
    </cfRule>
    <cfRule type="cellIs" dxfId="24" priority="33" operator="lessThan">
      <formula>0</formula>
    </cfRule>
  </conditionalFormatting>
  <conditionalFormatting sqref="BF11">
    <cfRule type="cellIs" dxfId="23" priority="25" operator="greaterThan">
      <formula>0</formula>
    </cfRule>
    <cfRule type="cellIs" dxfId="22" priority="26" operator="greaterThan">
      <formula>0</formula>
    </cfRule>
    <cfRule type="cellIs" dxfId="21" priority="27" operator="lessThan">
      <formula>0</formula>
    </cfRule>
  </conditionalFormatting>
  <conditionalFormatting sqref="BK11">
    <cfRule type="cellIs" dxfId="20" priority="22" operator="greaterThan">
      <formula>0</formula>
    </cfRule>
    <cfRule type="cellIs" dxfId="19" priority="23" operator="greaterThan">
      <formula>0</formula>
    </cfRule>
    <cfRule type="cellIs" dxfId="18" priority="24" operator="lessThan">
      <formula>0</formula>
    </cfRule>
  </conditionalFormatting>
  <conditionalFormatting sqref="BP11">
    <cfRule type="cellIs" dxfId="17" priority="19" operator="greaterThan">
      <formula>0</formula>
    </cfRule>
    <cfRule type="cellIs" dxfId="16" priority="20" operator="greaterThan">
      <formula>0</formula>
    </cfRule>
    <cfRule type="cellIs" dxfId="15" priority="21" operator="lessThan">
      <formula>0</formula>
    </cfRule>
  </conditionalFormatting>
  <conditionalFormatting sqref="AP11">
    <cfRule type="cellIs" dxfId="14" priority="16" operator="greaterThan">
      <formula>0</formula>
    </cfRule>
    <cfRule type="cellIs" dxfId="13" priority="17" operator="greaterThan">
      <formula>0</formula>
    </cfRule>
    <cfRule type="cellIs" dxfId="12" priority="18" operator="lessThan">
      <formula>0</formula>
    </cfRule>
  </conditionalFormatting>
  <conditionalFormatting sqref="AQ9">
    <cfRule type="cellIs" dxfId="11" priority="9" operator="greaterThan">
      <formula>0</formula>
    </cfRule>
    <cfRule type="cellIs" dxfId="10" priority="10" operator="greaterThan">
      <formula>0</formula>
    </cfRule>
    <cfRule type="cellIs" dxfId="9" priority="11" operator="greaterThan">
      <formula>0</formula>
    </cfRule>
    <cfRule type="cellIs" dxfId="8" priority="12" operator="lessThan">
      <formula>0</formula>
    </cfRule>
  </conditionalFormatting>
  <conditionalFormatting sqref="O2">
    <cfRule type="cellIs" dxfId="7" priority="1" operator="greaterThan">
      <formula>0</formula>
    </cfRule>
    <cfRule type="cellIs" dxfId="6" priority="2" operator="greaterThan">
      <formula>0</formula>
    </cfRule>
    <cfRule type="cellIs" dxfId="5" priority="3" operator="greaterThan">
      <formula>0</formula>
    </cfRule>
    <cfRule type="cellIs" dxfId="4" priority="4" operator="lessThan">
      <formula>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5BE06F0-D9FD-42D4-A27D-969B5268A88E}">
          <x14:formula1>
            <xm:f>Calculations!$B$3:$B$35</xm:f>
          </x14:formula1>
          <xm:sqref>C6:D7</xm:sqref>
        </x14:dataValidation>
        <x14:dataValidation type="list" allowBlank="1" showInputMessage="1" showErrorMessage="1" xr:uid="{6E8C573A-4F5D-4445-90BC-5A19EC0C0753}">
          <x14:formula1>
            <xm:f>Calculations!$C$3:$C$9</xm:f>
          </x14:formula1>
          <xm:sqref>H6:I7</xm:sqref>
        </x14:dataValidation>
        <x14:dataValidation type="list" allowBlank="1" showInputMessage="1" showErrorMessage="1" xr:uid="{F70AA478-A1E4-4004-B536-CB3E4089BC25}">
          <x14:formula1>
            <xm:f>Calculations!$D$3:$D$6</xm:f>
          </x14:formula1>
          <xm:sqref>M6:N7</xm:sqref>
        </x14:dataValidation>
        <x14:dataValidation type="list" allowBlank="1" showInputMessage="1" showErrorMessage="1" xr:uid="{3024BD10-13F1-4292-9CD0-5CB4C1521740}">
          <x14:formula1>
            <xm:f>Calculations!$E$3:$E$6</xm:f>
          </x14:formula1>
          <xm:sqref>R6:S7</xm:sqref>
        </x14:dataValidation>
        <x14:dataValidation type="list" allowBlank="1" showInputMessage="1" showErrorMessage="1" xr:uid="{4457E23D-013C-4763-9768-2572FC9B8C97}">
          <x14:formula1>
            <xm:f>Calculations!$F$3:$F$6</xm:f>
          </x14:formula1>
          <xm:sqref>W6:X7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7A4E-55D6-4A85-9E7F-C30002742C4E}">
  <dimension ref="B2:AZ45"/>
  <sheetViews>
    <sheetView topLeftCell="AP8" workbookViewId="0">
      <selection activeCell="AY9" sqref="AY9:AZ22"/>
    </sheetView>
  </sheetViews>
  <sheetFormatPr defaultRowHeight="13.8"/>
  <cols>
    <col min="2" max="2" width="13.3984375" customWidth="1"/>
    <col min="3" max="3" width="15.5" bestFit="1" customWidth="1"/>
    <col min="4" max="4" width="18.19921875" bestFit="1" customWidth="1"/>
    <col min="5" max="5" width="16" bestFit="1" customWidth="1"/>
    <col min="6" max="6" width="9.19921875" bestFit="1" customWidth="1"/>
    <col min="8" max="8" width="8.796875" style="25"/>
    <col min="11" max="11" width="13.09765625" bestFit="1" customWidth="1"/>
    <col min="12" max="12" width="21.296875" bestFit="1" customWidth="1"/>
    <col min="21" max="21" width="8.796875" style="25"/>
    <col min="23" max="23" width="13.796875" bestFit="1" customWidth="1"/>
    <col min="24" max="24" width="28.296875" bestFit="1" customWidth="1"/>
    <col min="28" max="28" width="8.796875" style="25"/>
    <col min="32" max="32" width="18.19921875" bestFit="1" customWidth="1"/>
    <col min="33" max="33" width="21.296875" bestFit="1" customWidth="1"/>
    <col min="37" max="37" width="8.796875" style="25"/>
    <col min="39" max="39" width="13.09765625" bestFit="1" customWidth="1"/>
    <col min="40" max="40" width="21.296875" bestFit="1" customWidth="1"/>
    <col min="48" max="48" width="8.796875" style="25"/>
    <col min="51" max="51" width="13.796875" bestFit="1" customWidth="1"/>
    <col min="52" max="52" width="28.296875" bestFit="1" customWidth="1"/>
    <col min="53" max="57" width="7.796875" bestFit="1" customWidth="1"/>
    <col min="58" max="58" width="11" bestFit="1" customWidth="1"/>
    <col min="59" max="59" width="7.796875" bestFit="1" customWidth="1"/>
    <col min="60" max="60" width="20.5" bestFit="1" customWidth="1"/>
    <col min="61" max="61" width="11" bestFit="1" customWidth="1"/>
  </cols>
  <sheetData>
    <row r="2" spans="2:52">
      <c r="B2" s="10" t="s">
        <v>2</v>
      </c>
      <c r="C2" s="10" t="s">
        <v>4</v>
      </c>
      <c r="D2" s="10" t="s">
        <v>5</v>
      </c>
      <c r="E2" s="10" t="s">
        <v>6</v>
      </c>
      <c r="F2" s="10" t="s">
        <v>7</v>
      </c>
    </row>
    <row r="3" spans="2:52">
      <c r="B3" t="s">
        <v>1070</v>
      </c>
      <c r="C3" t="s">
        <v>1070</v>
      </c>
      <c r="D3" t="s">
        <v>1070</v>
      </c>
      <c r="E3" t="s">
        <v>1070</v>
      </c>
      <c r="F3" t="s">
        <v>1070</v>
      </c>
    </row>
    <row r="4" spans="2:52">
      <c r="B4" s="11" cm="1">
        <f t="array" ref="B4:B35">_xlfn.UNIQUE(table[Month],FALSE,FALSE)</f>
        <v>45292</v>
      </c>
      <c r="C4" s="11" t="str" cm="1">
        <f t="array" ref="C4:C9">_xlfn.UNIQUE(table[Employee Name],FALSE,FALSE)</f>
        <v>Ahmed Hassan</v>
      </c>
      <c r="D4" s="11" t="str" cm="1">
        <f t="array" ref="D4:D6">_xlfn.UNIQUE(table[Department],FALSE,FALSE)</f>
        <v>Sales</v>
      </c>
      <c r="E4" s="11" t="str" cm="1">
        <f t="array" ref="E4:E6">_xlfn.UNIQUE(table[Team],FALSE,FALSE)</f>
        <v>Enterprise Sales</v>
      </c>
      <c r="F4" s="11" t="str" cm="1">
        <f t="array" ref="F4:F6">_xlfn.UNIQUE(table[Location],FALSE,FALSE)</f>
        <v>Dubai</v>
      </c>
    </row>
    <row r="5" spans="2:52">
      <c r="B5" s="11">
        <v>45323</v>
      </c>
      <c r="C5" s="11" t="str">
        <v>Sara Ali</v>
      </c>
      <c r="D5" s="11" t="str">
        <v>Operations</v>
      </c>
      <c r="E5" s="11" t="str">
        <v>Service Delivery</v>
      </c>
      <c r="F5" s="11" t="str">
        <v>Abu Dhabi</v>
      </c>
    </row>
    <row r="6" spans="2:52">
      <c r="B6" s="11">
        <v>45352</v>
      </c>
      <c r="C6" s="11" t="str">
        <v>Omar Khaled</v>
      </c>
      <c r="D6" s="11" t="str">
        <v>Customer Experience</v>
      </c>
      <c r="E6" s="11" t="str">
        <v>Customer Success</v>
      </c>
      <c r="F6" s="11" t="str">
        <v>Sharjah</v>
      </c>
    </row>
    <row r="7" spans="2:52">
      <c r="B7" s="11">
        <v>45383</v>
      </c>
      <c r="C7" t="str">
        <v>Youssef Ibrahim</v>
      </c>
    </row>
    <row r="8" spans="2:52">
      <c r="B8" s="11">
        <v>45413</v>
      </c>
      <c r="C8" t="str">
        <v>Nour Mohamed</v>
      </c>
      <c r="AM8" s="26" t="s">
        <v>1071</v>
      </c>
      <c r="AN8" t="s">
        <v>1076</v>
      </c>
    </row>
    <row r="9" spans="2:52">
      <c r="B9" s="11">
        <v>45444</v>
      </c>
      <c r="C9" t="str">
        <v>Mariam Adel</v>
      </c>
      <c r="K9" s="26" t="s">
        <v>1071</v>
      </c>
      <c r="L9" t="s">
        <v>1076</v>
      </c>
      <c r="AM9" s="27" t="s">
        <v>24</v>
      </c>
      <c r="AN9" s="28">
        <v>7507860</v>
      </c>
    </row>
    <row r="10" spans="2:52">
      <c r="B10" s="11">
        <v>45474</v>
      </c>
      <c r="C10" s="11"/>
      <c r="D10" s="11"/>
      <c r="E10" s="11"/>
      <c r="F10" s="11"/>
      <c r="K10" s="27" t="s">
        <v>1073</v>
      </c>
      <c r="L10" s="32">
        <v>7503550</v>
      </c>
      <c r="AM10" s="27" t="s">
        <v>20</v>
      </c>
      <c r="AN10" s="28">
        <v>10094210</v>
      </c>
      <c r="AY10" s="26" t="s">
        <v>7</v>
      </c>
      <c r="AZ10" t="s">
        <v>1090</v>
      </c>
    </row>
    <row r="11" spans="2:52">
      <c r="B11" s="11">
        <v>45505</v>
      </c>
      <c r="K11" s="29" t="s">
        <v>1077</v>
      </c>
      <c r="L11" s="32">
        <v>559290</v>
      </c>
      <c r="W11" s="26" t="s">
        <v>1071</v>
      </c>
      <c r="X11" t="s">
        <v>1089</v>
      </c>
      <c r="AM11" s="27" t="s">
        <v>45</v>
      </c>
      <c r="AN11" s="28">
        <v>3047800</v>
      </c>
      <c r="AY11" s="26" t="s">
        <v>2</v>
      </c>
      <c r="AZ11" t="s">
        <v>1090</v>
      </c>
    </row>
    <row r="12" spans="2:52">
      <c r="B12" s="11">
        <v>45536</v>
      </c>
      <c r="K12" s="29" t="s">
        <v>1078</v>
      </c>
      <c r="L12" s="32">
        <v>676330</v>
      </c>
      <c r="W12" s="27" t="s">
        <v>40</v>
      </c>
      <c r="X12" s="31">
        <v>1.015162292026345</v>
      </c>
      <c r="AM12" s="27" t="s">
        <v>1072</v>
      </c>
      <c r="AN12" s="28">
        <v>20649870</v>
      </c>
      <c r="AY12" s="26" t="s">
        <v>6</v>
      </c>
      <c r="AZ12" t="s">
        <v>1090</v>
      </c>
    </row>
    <row r="13" spans="2:52">
      <c r="B13" s="11">
        <v>45566</v>
      </c>
      <c r="K13" s="29" t="s">
        <v>1079</v>
      </c>
      <c r="L13" s="32">
        <v>602060</v>
      </c>
      <c r="W13" s="27" t="s">
        <v>17</v>
      </c>
      <c r="X13" s="31">
        <v>0.99739131938384118</v>
      </c>
      <c r="AF13" s="26" t="s">
        <v>1071</v>
      </c>
      <c r="AG13" t="s">
        <v>1076</v>
      </c>
      <c r="AY13" s="26" t="s">
        <v>5</v>
      </c>
      <c r="AZ13" t="s">
        <v>1090</v>
      </c>
    </row>
    <row r="14" spans="2:52">
      <c r="B14" s="11">
        <v>45597</v>
      </c>
      <c r="K14" s="29" t="s">
        <v>1080</v>
      </c>
      <c r="L14" s="32">
        <v>814760</v>
      </c>
      <c r="W14" s="27" t="s">
        <v>44</v>
      </c>
      <c r="X14" s="31">
        <v>0.98379306913689346</v>
      </c>
      <c r="AF14" s="27" t="s">
        <v>36</v>
      </c>
      <c r="AG14" s="32">
        <v>6701760</v>
      </c>
    </row>
    <row r="15" spans="2:52">
      <c r="B15" s="11">
        <v>45627</v>
      </c>
      <c r="K15" s="29" t="s">
        <v>1081</v>
      </c>
      <c r="L15" s="32">
        <v>853160</v>
      </c>
      <c r="W15" s="27" t="s">
        <v>23</v>
      </c>
      <c r="X15" s="31">
        <v>0.96370162637689671</v>
      </c>
      <c r="AF15" s="27" t="s">
        <v>28</v>
      </c>
      <c r="AG15" s="32">
        <v>5672850</v>
      </c>
      <c r="AY15" s="26" t="s">
        <v>1071</v>
      </c>
      <c r="AZ15" t="s">
        <v>1089</v>
      </c>
    </row>
    <row r="16" spans="2:52">
      <c r="B16" s="11">
        <v>45658</v>
      </c>
      <c r="K16" s="29" t="s">
        <v>1082</v>
      </c>
      <c r="L16" s="32">
        <v>494850</v>
      </c>
      <c r="W16" s="27" t="s">
        <v>35</v>
      </c>
      <c r="X16" s="31">
        <v>0.95848739254511328</v>
      </c>
      <c r="AF16" s="27" t="s">
        <v>18</v>
      </c>
      <c r="AG16" s="32">
        <v>8275260</v>
      </c>
      <c r="AY16" s="27" t="s">
        <v>17</v>
      </c>
      <c r="AZ16" s="31">
        <v>0.99739131938384118</v>
      </c>
    </row>
    <row r="17" spans="2:52">
      <c r="B17" s="11">
        <v>45689</v>
      </c>
      <c r="K17" s="29" t="s">
        <v>1083</v>
      </c>
      <c r="L17" s="32">
        <v>618340</v>
      </c>
      <c r="W17" s="27" t="s">
        <v>27</v>
      </c>
      <c r="X17" s="31">
        <v>0.92708587575896728</v>
      </c>
      <c r="AF17" s="27" t="s">
        <v>1072</v>
      </c>
      <c r="AG17" s="32">
        <v>20649870</v>
      </c>
      <c r="AY17" s="27" t="s">
        <v>44</v>
      </c>
      <c r="AZ17" s="31">
        <v>0.98379306913689346</v>
      </c>
    </row>
    <row r="18" spans="2:52">
      <c r="B18" s="11">
        <v>45717</v>
      </c>
      <c r="K18" s="29" t="s">
        <v>1084</v>
      </c>
      <c r="L18" s="32">
        <v>551640</v>
      </c>
      <c r="W18" s="27" t="s">
        <v>1072</v>
      </c>
      <c r="X18" s="31">
        <v>0.97424515337851392</v>
      </c>
      <c r="AY18" s="27" t="s">
        <v>40</v>
      </c>
      <c r="AZ18" s="31">
        <v>1.015162292026345</v>
      </c>
    </row>
    <row r="19" spans="2:52">
      <c r="B19" s="11">
        <v>45748</v>
      </c>
      <c r="K19" s="29" t="s">
        <v>1085</v>
      </c>
      <c r="L19" s="32">
        <v>615780</v>
      </c>
      <c r="AY19" s="27" t="s">
        <v>27</v>
      </c>
      <c r="AZ19" s="31">
        <v>0.92708587575896728</v>
      </c>
    </row>
    <row r="20" spans="2:52">
      <c r="B20" s="11">
        <v>45778</v>
      </c>
      <c r="K20" s="29" t="s">
        <v>1086</v>
      </c>
      <c r="L20" s="32">
        <v>680350</v>
      </c>
      <c r="AY20" s="27" t="s">
        <v>23</v>
      </c>
      <c r="AZ20" s="31">
        <v>0.96370162637689671</v>
      </c>
    </row>
    <row r="21" spans="2:52">
      <c r="B21" s="11">
        <v>45809</v>
      </c>
      <c r="K21" s="29" t="s">
        <v>1087</v>
      </c>
      <c r="L21" s="32">
        <v>602040</v>
      </c>
      <c r="AY21" s="27" t="s">
        <v>35</v>
      </c>
      <c r="AZ21" s="31">
        <v>0.95848739254511328</v>
      </c>
    </row>
    <row r="22" spans="2:52">
      <c r="B22" s="11">
        <v>45839</v>
      </c>
      <c r="K22" s="29" t="s">
        <v>1088</v>
      </c>
      <c r="L22" s="32">
        <v>434950</v>
      </c>
      <c r="AY22" s="27" t="s">
        <v>1072</v>
      </c>
      <c r="AZ22" s="31">
        <v>0.97424515337851392</v>
      </c>
    </row>
    <row r="23" spans="2:52">
      <c r="B23" s="11">
        <v>45870</v>
      </c>
      <c r="K23" s="27" t="s">
        <v>1074</v>
      </c>
      <c r="L23" s="32">
        <v>8467110</v>
      </c>
    </row>
    <row r="24" spans="2:52">
      <c r="B24" s="11">
        <v>45901</v>
      </c>
      <c r="K24" s="29" t="s">
        <v>1077</v>
      </c>
      <c r="L24" s="32">
        <v>731640</v>
      </c>
    </row>
    <row r="25" spans="2:52">
      <c r="B25" s="11">
        <v>45931</v>
      </c>
      <c r="K25" s="29" t="s">
        <v>1078</v>
      </c>
      <c r="L25" s="32">
        <v>754780</v>
      </c>
    </row>
    <row r="26" spans="2:52">
      <c r="B26" s="11">
        <v>45962</v>
      </c>
      <c r="K26" s="29" t="s">
        <v>1079</v>
      </c>
      <c r="L26" s="32">
        <v>724900</v>
      </c>
    </row>
    <row r="27" spans="2:52">
      <c r="B27" s="11">
        <v>45992</v>
      </c>
      <c r="K27" s="29" t="s">
        <v>1080</v>
      </c>
      <c r="L27" s="32">
        <v>815090</v>
      </c>
    </row>
    <row r="28" spans="2:52">
      <c r="B28" s="11">
        <v>46023</v>
      </c>
      <c r="K28" s="29" t="s">
        <v>1081</v>
      </c>
      <c r="L28" s="32">
        <v>713690</v>
      </c>
    </row>
    <row r="29" spans="2:52">
      <c r="B29" s="11">
        <v>46054</v>
      </c>
      <c r="K29" s="29" t="s">
        <v>1082</v>
      </c>
      <c r="L29" s="32">
        <v>544910</v>
      </c>
    </row>
    <row r="30" spans="2:52">
      <c r="B30" s="11">
        <v>46082</v>
      </c>
      <c r="K30" s="29" t="s">
        <v>1083</v>
      </c>
      <c r="L30" s="32">
        <v>702320</v>
      </c>
    </row>
    <row r="31" spans="2:52">
      <c r="B31" s="11">
        <v>46113</v>
      </c>
      <c r="K31" s="29" t="s">
        <v>1084</v>
      </c>
      <c r="L31" s="32">
        <v>701010</v>
      </c>
    </row>
    <row r="32" spans="2:52">
      <c r="B32" s="11">
        <v>46143</v>
      </c>
      <c r="K32" s="29" t="s">
        <v>1085</v>
      </c>
      <c r="L32" s="32">
        <v>604660</v>
      </c>
    </row>
    <row r="33" spans="2:12">
      <c r="B33" s="11">
        <v>46174</v>
      </c>
      <c r="K33" s="29" t="s">
        <v>1086</v>
      </c>
      <c r="L33" s="32">
        <v>1017760</v>
      </c>
    </row>
    <row r="34" spans="2:12">
      <c r="B34" s="11">
        <v>46204</v>
      </c>
      <c r="K34" s="29" t="s">
        <v>1087</v>
      </c>
      <c r="L34" s="32">
        <v>569770</v>
      </c>
    </row>
    <row r="35" spans="2:12">
      <c r="B35" s="11">
        <v>46235</v>
      </c>
      <c r="K35" s="29" t="s">
        <v>1088</v>
      </c>
      <c r="L35" s="32">
        <v>586580</v>
      </c>
    </row>
    <row r="36" spans="2:12">
      <c r="K36" s="27" t="s">
        <v>1075</v>
      </c>
      <c r="L36" s="32">
        <v>4679210</v>
      </c>
    </row>
    <row r="37" spans="2:12">
      <c r="K37" s="29" t="s">
        <v>1077</v>
      </c>
      <c r="L37" s="32">
        <v>639750</v>
      </c>
    </row>
    <row r="38" spans="2:12">
      <c r="K38" s="29" t="s">
        <v>1078</v>
      </c>
      <c r="L38" s="32">
        <v>702330</v>
      </c>
    </row>
    <row r="39" spans="2:12">
      <c r="K39" s="29" t="s">
        <v>1079</v>
      </c>
      <c r="L39" s="32">
        <v>631570</v>
      </c>
    </row>
    <row r="40" spans="2:12">
      <c r="K40" s="29" t="s">
        <v>1080</v>
      </c>
      <c r="L40" s="32">
        <v>476570</v>
      </c>
    </row>
    <row r="41" spans="2:12">
      <c r="K41" s="29" t="s">
        <v>1081</v>
      </c>
      <c r="L41" s="32">
        <v>557230</v>
      </c>
    </row>
    <row r="42" spans="2:12">
      <c r="K42" s="29" t="s">
        <v>1082</v>
      </c>
      <c r="L42" s="32">
        <v>650510</v>
      </c>
    </row>
    <row r="43" spans="2:12">
      <c r="K43" s="29" t="s">
        <v>1083</v>
      </c>
      <c r="L43" s="32">
        <v>493830</v>
      </c>
    </row>
    <row r="44" spans="2:12">
      <c r="K44" s="29" t="s">
        <v>1084</v>
      </c>
      <c r="L44" s="32">
        <v>527420</v>
      </c>
    </row>
    <row r="45" spans="2:12">
      <c r="K45" s="27" t="s">
        <v>1072</v>
      </c>
      <c r="L45" s="32">
        <v>20649870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3.8"/>
  <cols>
    <col min="1" max="1" width="24" customWidth="1"/>
    <col min="2" max="2" width="58" customWidth="1"/>
    <col min="3" max="3" width="42" customWidth="1"/>
  </cols>
  <sheetData>
    <row r="1" spans="1:3" ht="20.85" customHeight="1">
      <c r="A1" s="1" t="s">
        <v>1036</v>
      </c>
      <c r="B1" s="1" t="s">
        <v>1037</v>
      </c>
      <c r="C1" s="1" t="s">
        <v>1038</v>
      </c>
    </row>
    <row r="2" spans="1:3">
      <c r="A2" s="9" t="s">
        <v>0</v>
      </c>
      <c r="B2" s="9" t="s">
        <v>1039</v>
      </c>
      <c r="C2" s="9" t="s">
        <v>1040</v>
      </c>
    </row>
    <row r="3" spans="1:3">
      <c r="A3" s="9" t="s">
        <v>1</v>
      </c>
      <c r="B3" s="9" t="s">
        <v>1041</v>
      </c>
      <c r="C3" s="9" t="s">
        <v>1042</v>
      </c>
    </row>
    <row r="4" spans="1:3">
      <c r="A4" s="9" t="s">
        <v>2</v>
      </c>
      <c r="B4" s="9" t="s">
        <v>1043</v>
      </c>
      <c r="C4" s="9" t="s">
        <v>1044</v>
      </c>
    </row>
    <row r="5" spans="1:3">
      <c r="A5" s="9" t="s">
        <v>3</v>
      </c>
      <c r="B5" s="9" t="s">
        <v>1045</v>
      </c>
      <c r="C5" s="9" t="s">
        <v>1046</v>
      </c>
    </row>
    <row r="6" spans="1:3">
      <c r="A6" s="9" t="s">
        <v>4</v>
      </c>
      <c r="B6" s="9" t="s">
        <v>1047</v>
      </c>
      <c r="C6" s="9" t="s">
        <v>1048</v>
      </c>
    </row>
    <row r="7" spans="1:3">
      <c r="A7" s="9" t="s">
        <v>5</v>
      </c>
      <c r="B7" s="9" t="s">
        <v>1049</v>
      </c>
      <c r="C7" s="9" t="s">
        <v>1050</v>
      </c>
    </row>
    <row r="8" spans="1:3">
      <c r="A8" s="9" t="s">
        <v>6</v>
      </c>
      <c r="B8" s="9" t="s">
        <v>1051</v>
      </c>
      <c r="C8" s="9" t="s">
        <v>1052</v>
      </c>
    </row>
    <row r="9" spans="1:3">
      <c r="A9" s="9" t="s">
        <v>7</v>
      </c>
      <c r="B9" s="9" t="s">
        <v>1053</v>
      </c>
      <c r="C9" s="9" t="s">
        <v>1054</v>
      </c>
    </row>
    <row r="10" spans="1:3">
      <c r="A10" s="9" t="s">
        <v>8</v>
      </c>
      <c r="B10" s="9" t="s">
        <v>1055</v>
      </c>
      <c r="C10" s="9" t="s">
        <v>1056</v>
      </c>
    </row>
    <row r="11" spans="1:3">
      <c r="A11" s="9" t="s">
        <v>9</v>
      </c>
      <c r="B11" s="9" t="s">
        <v>1057</v>
      </c>
      <c r="C11" s="9" t="s">
        <v>1058</v>
      </c>
    </row>
    <row r="12" spans="1:3">
      <c r="A12" s="9" t="s">
        <v>10</v>
      </c>
      <c r="B12" s="9" t="s">
        <v>1059</v>
      </c>
      <c r="C12" s="9" t="s">
        <v>1060</v>
      </c>
    </row>
    <row r="13" spans="1:3">
      <c r="A13" s="9" t="s">
        <v>11</v>
      </c>
      <c r="B13" s="9" t="s">
        <v>1061</v>
      </c>
      <c r="C13" s="9" t="s">
        <v>1062</v>
      </c>
    </row>
    <row r="14" spans="1:3">
      <c r="A14" s="9" t="s">
        <v>12</v>
      </c>
      <c r="B14" s="9" t="s">
        <v>1063</v>
      </c>
      <c r="C14" s="9" t="s">
        <v>1064</v>
      </c>
    </row>
    <row r="15" spans="1:3">
      <c r="A15" s="9" t="s">
        <v>13</v>
      </c>
      <c r="B15" s="9" t="s">
        <v>1065</v>
      </c>
      <c r="C15" s="9" t="s">
        <v>1066</v>
      </c>
    </row>
    <row r="16" spans="1:3" ht="27.6">
      <c r="A16" s="9" t="s">
        <v>14</v>
      </c>
      <c r="B16" s="9" t="s">
        <v>1067</v>
      </c>
      <c r="C16" s="9" t="s">
        <v>1068</v>
      </c>
    </row>
    <row r="18" spans="1:3" ht="31.95" customHeight="1">
      <c r="A18" s="23" t="s">
        <v>1069</v>
      </c>
      <c r="B18" s="23"/>
      <c r="C18" s="23"/>
    </row>
  </sheetData>
  <mergeCells count="1"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Performance_Data</vt:lpstr>
      <vt:lpstr>Dashbourd</vt:lpstr>
      <vt:lpstr>Calculations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mahmoud</cp:lastModifiedBy>
  <dcterms:modified xsi:type="dcterms:W3CDTF">2026-10-21T18:00:32Z</dcterms:modified>
</cp:coreProperties>
</file>